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ted Data" sheetId="1" state="visible" r:id="rId3"/>
    <sheet name="Synthesis" sheetId="2" state="visible" r:id="rId4"/>
    <sheet name="Good-Better-Best" sheetId="3" state="visible" r:id="rId5"/>
    <sheet name="Sources &amp; Method" sheetId="4" state="visible" r:id="rId6"/>
  </sheets>
  <definedNames>
    <definedName function="false" hidden="true" localSheetId="0" name="_xlnm._FilterDatabase" vbProcedure="false">'Consolidated Data'!$A$1:$AI$231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Parsed from "Pricing (as reported)": lowest monthly figure &lt; $10,000, excluding entry/entrance fees, deposits and community fees. Blank = no monthly figure reported.</t>
        </r>
      </text>
    </comment>
    <comment ref="AA1" authorId="0">
      <text>
        <r>
          <rPr>
            <sz val="10"/>
            <rFont val="Arial"/>
            <family val="2"/>
          </rPr>
          <t xml:space="preserve">Tier columns are derived from the text in the matching function column: Included / Included (limited) / Available (extra cost) / Not provided / Not stated. Used by the Synthesis tab counts.</t>
        </r>
      </text>
    </comment>
  </commentList>
</comments>
</file>

<file path=xl/sharedStrings.xml><?xml version="1.0" encoding="utf-8"?>
<sst xmlns="http://schemas.openxmlformats.org/spreadsheetml/2006/main" count="5817" uniqueCount="1804">
  <si>
    <t xml:space="preserve">Row ID</t>
  </si>
  <si>
    <t xml:space="preserve">Source (Person)</t>
  </si>
  <si>
    <t xml:space="preserve">Source Document</t>
  </si>
  <si>
    <t xml:space="preserve">Source Date</t>
  </si>
  <si>
    <t xml:space="preserve">Community / Company / Model</t>
  </si>
  <si>
    <t xml:space="preserve">Operator</t>
  </si>
  <si>
    <t xml:space="preserve">Location</t>
  </si>
  <si>
    <t xml:space="preserve">Community Type / Model</t>
  </si>
  <si>
    <t xml:space="preserve">Villa / Cottage Count</t>
  </si>
  <si>
    <t xml:space="preserve">Pricing (as reported)</t>
  </si>
  <si>
    <t xml:space="preserve">Monthly Fee Low ($)</t>
  </si>
  <si>
    <t xml:space="preserve">Monthly Fee High ($)</t>
  </si>
  <si>
    <t xml:space="preserve">Entry Fee?</t>
  </si>
  <si>
    <t xml:space="preserve">Transportation</t>
  </si>
  <si>
    <t xml:space="preserve">Life Enrichment / Campus Amenities</t>
  </si>
  <si>
    <t xml:space="preserve">Culinary / Dining</t>
  </si>
  <si>
    <t xml:space="preserve">Housekeeping / Laundry &amp; Linen</t>
  </si>
  <si>
    <t xml:space="preserve">Wellness / Fitness / Health</t>
  </si>
  <si>
    <t xml:space="preserve">Emergency / Safety / Security</t>
  </si>
  <si>
    <t xml:space="preserve">Maintenance (Interior / Exterior / Grounds)</t>
  </si>
  <si>
    <t xml:space="preserve">Utilities / Taxes / Insurance</t>
  </si>
  <si>
    <t xml:space="preserve">Additional / À La Carte / Concierge</t>
  </si>
  <si>
    <t xml:space="preserve">Residence Features (garage, W/D, patio, etc.)</t>
  </si>
  <si>
    <t xml:space="preserve">Notes / Flags</t>
  </si>
  <si>
    <t xml:space="preserve">Sub-market / Map Reference (Lopez)</t>
  </si>
  <si>
    <t xml:space="preserve">Year Opened</t>
  </si>
  <si>
    <t xml:space="preserve">Tier: Transportation</t>
  </si>
  <si>
    <t xml:space="preserve">Tier: Life Enrichment / Campus Amenities</t>
  </si>
  <si>
    <t xml:space="preserve">Tier: Culinary / Dining</t>
  </si>
  <si>
    <t xml:space="preserve">Tier: Housekeeping / Laundry &amp; Linen</t>
  </si>
  <si>
    <t xml:space="preserve">Tier: Wellness / Fitness / Health</t>
  </si>
  <si>
    <t xml:space="preserve">Tier: Emergency / Safety / Security</t>
  </si>
  <si>
    <t xml:space="preserve">Tier: Maintenance (Interior / Exterior / Grounds)</t>
  </si>
  <si>
    <t xml:space="preserve">Tier: Utilities / Taxes / Insurance</t>
  </si>
  <si>
    <t xml:space="preserve">Tier: Additional / À La Carte / Concierge</t>
  </si>
  <si>
    <t xml:space="preserve">Laura Lopez</t>
  </si>
  <si>
    <t xml:space="preserve">Word doc: Villa Study Scratch List (Updated Oct 2023)</t>
  </si>
  <si>
    <t xml:space="preserve">Oct 2023 (doc); received by email Sept 2026</t>
  </si>
  <si>
    <t xml:space="preserve">Friendship Village Kalamazoo</t>
  </si>
  <si>
    <t xml:space="preserve">Life Care Services</t>
  </si>
  <si>
    <t xml:space="preserve">Kalamazoo, MI</t>
  </si>
  <si>
    <t xml:space="preserve">CCRC</t>
  </si>
  <si>
    <t xml:space="preserve">50 villas</t>
  </si>
  <si>
    <t xml:space="preserve">2 Bed/2 Bath, 1300 sq ft: $2926; Entry Fee: $233,130 - $369,900 | 3 Bed/2 Bath, 1500 sq ft: $3346; EF: $261,530 - $415,000 | 3 Bed/2.5 bath, 1800 sq ft: $4006; EF: $304,990 - $483,900</t>
  </si>
  <si>
    <t xml:space="preserve">Yes</t>
  </si>
  <si>
    <t xml:space="preserve">Main Campus amenities (pool; gym w/ trainer; chaplain; café; general store)</t>
  </si>
  <si>
    <t xml:space="preserve">Bi-Weekly Housekeeping</t>
  </si>
  <si>
    <t xml:space="preserve">(via campus amenities) Main Campus amenities (pool; gym w/ trainer; chaplain; café; general store)</t>
  </si>
  <si>
    <t xml:space="preserve">Emergency call system</t>
  </si>
  <si>
    <t xml:space="preserve">All utilities, including cable</t>
  </si>
  <si>
    <t xml:space="preserve">In-unit washer/dryer; 1.5 car attached garage</t>
  </si>
  <si>
    <t xml:space="preserve">Kalamazoo Acquisition – Fountains at Bronson Place</t>
  </si>
  <si>
    <t xml:space="preserve">Included</t>
  </si>
  <si>
    <t xml:space="preserve">Not stated</t>
  </si>
  <si>
    <t xml:space="preserve">Wittenberg Village</t>
  </si>
  <si>
    <t xml:space="preserve">Lutheran Life Communities</t>
  </si>
  <si>
    <t xml:space="preserve">Crown Point, IN</t>
  </si>
  <si>
    <t xml:space="preserve">47 Villas</t>
  </si>
  <si>
    <t xml:space="preserve">CCRC (entry fee not stated)</t>
  </si>
  <si>
    <t xml:space="preserve">Campus amenities (chapel/chaplain; country store; fitness center</t>
  </si>
  <si>
    <t xml:space="preserve">One meal per day</t>
  </si>
  <si>
    <t xml:space="preserve">B-weekly housekeeping &amp; flat linen service</t>
  </si>
  <si>
    <t xml:space="preserve">(via campus amenities) Campus amenities (chapel/chaplain; country store; fitness center</t>
  </si>
  <si>
    <t xml:space="preserve">Basic cable &amp; Wi-Fi</t>
  </si>
  <si>
    <t xml:space="preserve">Many with a garage</t>
  </si>
  <si>
    <t xml:space="preserve">NW Indiana</t>
  </si>
  <si>
    <t xml:space="preserve">1974</t>
  </si>
  <si>
    <t xml:space="preserve">The Moorings of Arlington Heights</t>
  </si>
  <si>
    <t xml:space="preserve">Presbyterian Homes</t>
  </si>
  <si>
    <t xml:space="preserve">Arlington Heights, IL</t>
  </si>
  <si>
    <t xml:space="preserve">72 Villas (1276 – 2036 sq ft)</t>
  </si>
  <si>
    <t xml:space="preserve">$4620 for a villa; Entrance Fee: $299,600</t>
  </si>
  <si>
    <t xml:space="preserve">Campus amenities (pool; fitness center)</t>
  </si>
  <si>
    <t xml:space="preserve">Weekly Housekeeping</t>
  </si>
  <si>
    <t xml:space="preserve">(via campus amenities) Campus amenities (pool; fitness center)</t>
  </si>
  <si>
    <t xml:space="preserve">$490 per month “discretionary dollar account”</t>
  </si>
  <si>
    <t xml:space="preserve">Attached two-car garage; In-unit washer/dryer; Some include basements</t>
  </si>
  <si>
    <t xml:space="preserve">NW Chicago New Dev – Schaumburg add Comps</t>
  </si>
  <si>
    <t xml:space="preserve">1989</t>
  </si>
  <si>
    <t xml:space="preserve">Newcastle Place</t>
  </si>
  <si>
    <t xml:space="preserve">Life Care Services, LLC</t>
  </si>
  <si>
    <t xml:space="preserve">Mequon, WI</t>
  </si>
  <si>
    <t xml:space="preserve">29 Villas (1718 – 1982 sq ft)</t>
  </si>
  <si>
    <t xml:space="preserve">Bi-weekly housekeeping &amp; linen service</t>
  </si>
  <si>
    <t xml:space="preserve">All utilities including cable &amp; Wi-Fi</t>
  </si>
  <si>
    <t xml:space="preserve">Attached two-car garage; 2 Bed/2 Bath; In-unit washer/dryer</t>
  </si>
  <si>
    <t xml:space="preserve">Wright House, Mequon WI</t>
  </si>
  <si>
    <t xml:space="preserve">2003</t>
  </si>
  <si>
    <t xml:space="preserve">Crown Point Christian Village</t>
  </si>
  <si>
    <t xml:space="preserve">Christian Homes, Inc.</t>
  </si>
  <si>
    <t xml:space="preserve">Villa, AL, MC</t>
  </si>
  <si>
    <t xml:space="preserve">20 Villas (up to 1614 sq ft)</t>
  </si>
  <si>
    <t xml:space="preserve">Weekly continental breakfast</t>
  </si>
  <si>
    <t xml:space="preserve">Bi-weekly housekeeping</t>
  </si>
  <si>
    <t xml:space="preserve">Paid utilities including basic cable &amp; Wi-Fi</t>
  </si>
  <si>
    <t xml:space="preserve">2 Bed/2 Bath; In-unit washer/dryer; Attached one-car garage</t>
  </si>
  <si>
    <t xml:space="preserve">1993</t>
  </si>
  <si>
    <t xml:space="preserve">Friendship Village of Schaumburg</t>
  </si>
  <si>
    <t xml:space="preserve">Friendship Senior Options</t>
  </si>
  <si>
    <t xml:space="preserve">Schaumburg, IL</t>
  </si>
  <si>
    <t xml:space="preserve">28 Villas (1350 – 1750 sq ft)</t>
  </si>
  <si>
    <t xml:space="preserve">Attached garage; In-unit washer/dryer w/ laundry room</t>
  </si>
  <si>
    <t xml:space="preserve">1977</t>
  </si>
  <si>
    <t xml:space="preserve">Sunrise of Olympia Fields</t>
  </si>
  <si>
    <t xml:space="preserve">Sunrise Senior Living</t>
  </si>
  <si>
    <t xml:space="preserve">Olympia Fields, IL</t>
  </si>
  <si>
    <t xml:space="preserve">Villa, IL, AL</t>
  </si>
  <si>
    <t xml:space="preserve">32 Villas</t>
  </si>
  <si>
    <t xml:space="preserve">Frankfort, IL (New Dev)</t>
  </si>
  <si>
    <t xml:space="preserve">1999</t>
  </si>
  <si>
    <t xml:space="preserve">Smith Crossing</t>
  </si>
  <si>
    <t xml:space="preserve">Smith Senior Living Communities</t>
  </si>
  <si>
    <t xml:space="preserve">Orland Park, IL</t>
  </si>
  <si>
    <t xml:space="preserve">10 Villas (1506 – 1809 sq ft)</t>
  </si>
  <si>
    <t xml:space="preserve">Campus amenities (fitness center w/ exercise physiologist; movie theater; etc.)</t>
  </si>
  <si>
    <t xml:space="preserve">(via campus amenities) Campus amenities (fitness center w/ exercise physiologist; movie theater; etc.)</t>
  </si>
  <si>
    <t xml:space="preserve">Attached two-car garage; In-unit washer/dryer; Enclosed porch or screened patio</t>
  </si>
  <si>
    <t xml:space="preserve">2004</t>
  </si>
  <si>
    <t xml:space="preserve">Briar Creek Independent Senior Living Community</t>
  </si>
  <si>
    <t xml:space="preserve">Warmus Senior Living</t>
  </si>
  <si>
    <t xml:space="preserve">Uniontown, OH</t>
  </si>
  <si>
    <t xml:space="preserve">Villa &amp; IL</t>
  </si>
  <si>
    <t xml:space="preserve">36 Villas</t>
  </si>
  <si>
    <t xml:space="preserve">Campus amenities (gym, movie theater, coffee bar, etc.)</t>
  </si>
  <si>
    <t xml:space="preserve">Housekeeping</t>
  </si>
  <si>
    <t xml:space="preserve">(via campus amenities) Campus amenities (gym, movie theater, coffee bar, etc.)</t>
  </si>
  <si>
    <t xml:space="preserve">Maintenance</t>
  </si>
  <si>
    <t xml:space="preserve">Lancaster-Jackson Twp OH Danbury New Devs (Jackson)</t>
  </si>
  <si>
    <t xml:space="preserve">2017</t>
  </si>
  <si>
    <t xml:space="preserve">Primrose Retirement Community of Lancaster</t>
  </si>
  <si>
    <t xml:space="preserve">Primrose Retirement Communities</t>
  </si>
  <si>
    <t xml:space="preserve">Lancaster, OH</t>
  </si>
  <si>
    <t xml:space="preserve">Villa, IL, AL &amp; MC</t>
  </si>
  <si>
    <t xml:space="preserve">10 Villas (1594 sq ft)</t>
  </si>
  <si>
    <t xml:space="preserve">Campus amenities (chapel, wellness center, ice cream parlor)</t>
  </si>
  <si>
    <t xml:space="preserve">Daily meal</t>
  </si>
  <si>
    <t xml:space="preserve">(via campus amenities) Campus amenities (chapel, wellness center, ice cream parlor)</t>
  </si>
  <si>
    <t xml:space="preserve">Emergency call system; Emergency call system</t>
  </si>
  <si>
    <t xml:space="preserve">All utilities including cable and internet</t>
  </si>
  <si>
    <t xml:space="preserve">Attached garage; In-unit washer/dryer</t>
  </si>
  <si>
    <t xml:space="preserve">Lancaster-Jackson Twp OH Danbury New Devs (Lancaster)</t>
  </si>
  <si>
    <t xml:space="preserve">2007</t>
  </si>
  <si>
    <t xml:space="preserve">Concordia Village</t>
  </si>
  <si>
    <t xml:space="preserve">Lutheran Senior Services</t>
  </si>
  <si>
    <t xml:space="preserve">Springfield, IL</t>
  </si>
  <si>
    <t xml:space="preserve">23 Villas (1895 sq ft)</t>
  </si>
  <si>
    <t xml:space="preserve">Transportation services</t>
  </si>
  <si>
    <t xml:space="preserve">Campus amenities (Chapel w/ chaplain; art studio; village market; fitness center w/ indoor pool; movie theater)</t>
  </si>
  <si>
    <t xml:space="preserve">Scheduled housekeeping services</t>
  </si>
  <si>
    <t xml:space="preserve">(via campus amenities) Campus amenities (Chapel w/ chaplain; art studio; village market; fitness center w/ indoor pool; movie theater)</t>
  </si>
  <si>
    <t xml:space="preserve">“Many utility costs included”</t>
  </si>
  <si>
    <t xml:space="preserve">3 Bed/2 Bath; In-unit washer/dryer; Optional patio; Attached two-car garage</t>
  </si>
  <si>
    <t xml:space="preserve">Illinois Holiday Acquisitions (Springfield)</t>
  </si>
  <si>
    <t xml:space="preserve">1995</t>
  </si>
  <si>
    <t xml:space="preserve">Lewis Memorial Christian Village</t>
  </si>
  <si>
    <t xml:space="preserve">Christian Horizons</t>
  </si>
  <si>
    <t xml:space="preserve">20 villas</t>
  </si>
  <si>
    <t xml:space="preserve">Campus amenities (bistro; chapel w/ pastor; fitness center w/ pool)</t>
  </si>
  <si>
    <t xml:space="preserve">(via campus amenities) Campus amenities (bistro; chapel w/ pastor; fitness center w/ pool)</t>
  </si>
  <si>
    <t xml:space="preserve">Emergency response system</t>
  </si>
  <si>
    <t xml:space="preserve">“Paid basic cable, sewer, water and trash”</t>
  </si>
  <si>
    <t xml:space="preserve">“One- to two-bed, and up to two-bath townhomes”; In-unit washer/dryer; Attached garages; Private patios</t>
  </si>
  <si>
    <t xml:space="preserve">Good Samaritan Home of Quincy</t>
  </si>
  <si>
    <t xml:space="preserve">Good Samaritan Home</t>
  </si>
  <si>
    <t xml:space="preserve">Quincy, IL</t>
  </si>
  <si>
    <t xml:space="preserve">180 villas</t>
  </si>
  <si>
    <t xml:space="preserve">Campus Amenities (gym w/ pool; chapel; buffet-style meals for add. Fee; general store)</t>
  </si>
  <si>
    <t xml:space="preserve">(via campus amenities) Campus Amenities (gym w/ pool; chapel; buffet-style meals for add. Fee; general store)</t>
  </si>
  <si>
    <t xml:space="preserve">All utilities except phone, internet, cable, and garbage stickers</t>
  </si>
  <si>
    <t xml:space="preserve">One and two bedroom cottages</t>
  </si>
  <si>
    <t xml:space="preserve">Illinois Holiday Acquisitions (Quincy)</t>
  </si>
  <si>
    <t xml:space="preserve">1957</t>
  </si>
  <si>
    <t xml:space="preserve">Available (extra cost)</t>
  </si>
  <si>
    <t xml:space="preserve">Provision Living at East Lansing</t>
  </si>
  <si>
    <t xml:space="preserve">Provision Senior Living Communities</t>
  </si>
  <si>
    <t xml:space="preserve">East Lansing, MI</t>
  </si>
  <si>
    <t xml:space="preserve">Villa, AL &amp; MC</t>
  </si>
  <si>
    <t xml:space="preserve">22 villas</t>
  </si>
  <si>
    <t xml:space="preserve">Housekeeping and maintenance services</t>
  </si>
  <si>
    <t xml:space="preserve">Concierge services</t>
  </si>
  <si>
    <t xml:space="preserve">2 Bed/2 Bath</t>
  </si>
  <si>
    <t xml:space="preserve">Michigan Holiday Acquisitions (Lansing)</t>
  </si>
  <si>
    <t xml:space="preserve">2022</t>
  </si>
  <si>
    <t xml:space="preserve">American House Village of Rochester Hills</t>
  </si>
  <si>
    <t xml:space="preserve">American House Senior Living</t>
  </si>
  <si>
    <t xml:space="preserve">Rochester Hills, MI</t>
  </si>
  <si>
    <t xml:space="preserve">rental-only continuum</t>
  </si>
  <si>
    <t xml:space="preserve">12 villas (1020 – 1280 sq ft)</t>
  </si>
  <si>
    <t xml:space="preserve">Campus amenities (ice cream parlor; library; fitness center)</t>
  </si>
  <si>
    <t xml:space="preserve">Housekeeping and laundry services</t>
  </si>
  <si>
    <t xml:space="preserve">(via campus amenities) Campus amenities (ice cream parlor; library; fitness center)</t>
  </si>
  <si>
    <t xml:space="preserve">2-3 Bed/2 Bath; In-unit washer/dryer</t>
  </si>
  <si>
    <t xml:space="preserve">Michigan Holiday Acquisitions (Waterford/Metro Detroit)</t>
  </si>
  <si>
    <t xml:space="preserve">The Villas at Westlake</t>
  </si>
  <si>
    <t xml:space="preserve">Trilogy Health Services</t>
  </si>
  <si>
    <t xml:space="preserve">Commerce Charter Twp, MI</t>
  </si>
  <si>
    <t xml:space="preserve">Villa, AL, MC &amp; SNF</t>
  </si>
  <si>
    <t xml:space="preserve">34 villas</t>
  </si>
  <si>
    <t xml:space="preserve">2 Bed/2 Bath: $3624</t>
  </si>
  <si>
    <t xml:space="preserve">Cable included; Electric, heat, and water included</t>
  </si>
  <si>
    <t xml:space="preserve">Attached garage; Private patio; Washer/dryer hookups</t>
  </si>
  <si>
    <t xml:space="preserve">2011</t>
  </si>
  <si>
    <t xml:space="preserve">Vitalia Senior Residences at Strongsville</t>
  </si>
  <si>
    <t xml:space="preserve">Arrow Senior Living</t>
  </si>
  <si>
    <t xml:space="preserve">Strongsville, OH</t>
  </si>
  <si>
    <t xml:space="preserve">71 Villas (1191 – 1383 sq ft)</t>
  </si>
  <si>
    <t xml:space="preserve">Campus amenities (wellness center; library; demonstration kitchen)</t>
  </si>
  <si>
    <t xml:space="preserve">(via campus amenities) Campus amenities (wellness center; library; demonstration kitchen)</t>
  </si>
  <si>
    <t xml:space="preserve">Attached garage; 2-3 Bed/ 2 Bath</t>
  </si>
  <si>
    <t xml:space="preserve">Confirm additional amenities/that it’s on par with our proposed villa product</t>
  </si>
  <si>
    <t xml:space="preserve">Ohio Holiday Acquisitions (Strongsville/Cleveland)</t>
  </si>
  <si>
    <t xml:space="preserve">2024?</t>
  </si>
  <si>
    <t xml:space="preserve">Samaritas Senior Living of Grand Rapids</t>
  </si>
  <si>
    <t xml:space="preserve">Samaritas Senior Living</t>
  </si>
  <si>
    <t xml:space="preserve">Grand Rapids, MI</t>
  </si>
  <si>
    <t xml:space="preserve">25 Villas</t>
  </si>
  <si>
    <t xml:space="preserve">1 Bedroom: $3125 | 2 Bedroom: $3645 | Stand Alone: $4045</t>
  </si>
  <si>
    <t xml:space="preserve">Michigan Holiday Acquisitions (Wyoming/Grand Rapids)</t>
  </si>
  <si>
    <t xml:space="preserve">1978</t>
  </si>
  <si>
    <t xml:space="preserve">Legacies Village</t>
  </si>
  <si>
    <t xml:space="preserve">WRG Senior Living/Legacies</t>
  </si>
  <si>
    <t xml:space="preserve">Caledonia, MI</t>
  </si>
  <si>
    <t xml:space="preserve">IL</t>
  </si>
  <si>
    <t xml:space="preserve">20 Villas (1200 sq ft)</t>
  </si>
  <si>
    <t xml:space="preserve">Daily continental breakfast in community center</t>
  </si>
  <si>
    <t xml:space="preserve">Utilities, including Cable &amp; Internet</t>
  </si>
  <si>
    <t xml:space="preserve">1 Bed / 1.5 Bath; In-unit washer/dryer; Attached 1-car garage; Private patio</t>
  </si>
  <si>
    <t xml:space="preserve">Holiday Aurora Pond</t>
  </si>
  <si>
    <t xml:space="preserve">Holiday Senior Living/Atria</t>
  </si>
  <si>
    <t xml:space="preserve">Wyoming, MI</t>
  </si>
  <si>
    <t xml:space="preserve">18 villas (1252 – 1474 sq ft)</t>
  </si>
  <si>
    <t xml:space="preserve">$4149 starting rate</t>
  </si>
  <si>
    <t xml:space="preserve">Campus amenities (billiards; fitness room; chapel)</t>
  </si>
  <si>
    <t xml:space="preserve">(via campus amenities) Campus amenities (billiards; fitness room; chapel)</t>
  </si>
  <si>
    <t xml:space="preserve">Cable included</t>
  </si>
  <si>
    <t xml:space="preserve">In-unit washer/dryer; Patio; Some w/ attached garage</t>
  </si>
  <si>
    <t xml:space="preserve">Holland Home Raybrook Campus</t>
  </si>
  <si>
    <t xml:space="preserve">Holland Home</t>
  </si>
  <si>
    <t xml:space="preserve">42 Villas</t>
  </si>
  <si>
    <t xml:space="preserve">Campus Amenities (billiards; wellness center; pool; library)</t>
  </si>
  <si>
    <t xml:space="preserve">Daily meal delivery available</t>
  </si>
  <si>
    <t xml:space="preserve">(via campus amenities) Campus Amenities (billiards; wellness center; pool; library)</t>
  </si>
  <si>
    <t xml:space="preserve">2 Bed/2 Bath; In-unit washer/dryer; Attached garage; Patio</t>
  </si>
  <si>
    <t xml:space="preserve">1998 (Raybrook Homes opens); facility first established 1983</t>
  </si>
  <si>
    <t xml:space="preserve">Breton Woods of Holland Homes</t>
  </si>
  <si>
    <t xml:space="preserve">126 Villas</t>
  </si>
  <si>
    <t xml:space="preserve">Campus Amenities (wellness center; pool; gym; art studio; woodshop; chapel; billiards)</t>
  </si>
  <si>
    <t xml:space="preserve">(via campus amenities) Campus Amenities (wellness center; pool; gym; art studio; woodshop; chapel; billiards)</t>
  </si>
  <si>
    <t xml:space="preserve">Attached garage; In-unit washer/dryer; 2-3 Bedroom / 2-3 Bath</t>
  </si>
  <si>
    <t xml:space="preserve">Waterford Place</t>
  </si>
  <si>
    <t xml:space="preserve">Sunset Senior Communities</t>
  </si>
  <si>
    <t xml:space="preserve">Jenison, MI</t>
  </si>
  <si>
    <t xml:space="preserve">20 Villas (767 – 1225 sq ft)</t>
  </si>
  <si>
    <t xml:space="preserve">Campus amenities (fitness/aquatics center; health clinic; library; woodshop; bistro)</t>
  </si>
  <si>
    <t xml:space="preserve">(via campus amenities) Campus amenities (fitness/aquatics center; health clinic; library; woodshop; bistro)</t>
  </si>
  <si>
    <t xml:space="preserve">In-unit washer/dryer; Attached two-car garage; Porch</t>
  </si>
  <si>
    <t xml:space="preserve">2023?</t>
  </si>
  <si>
    <t xml:space="preserve">Holiday Wescourt</t>
  </si>
  <si>
    <t xml:space="preserve">Saginaw, MI</t>
  </si>
  <si>
    <t xml:space="preserve">8 villas (1298 sq ft)</t>
  </si>
  <si>
    <t xml:space="preserve">$5219 starting rate</t>
  </si>
  <si>
    <t xml:space="preserve">Patio</t>
  </si>
  <si>
    <t xml:space="preserve">Vitalia North Royalton</t>
  </si>
  <si>
    <t xml:space="preserve">North Royalton, OH</t>
  </si>
  <si>
    <t xml:space="preserve">16 villas</t>
  </si>
  <si>
    <t xml:space="preserve">Western Reserve Masonic Community</t>
  </si>
  <si>
    <t xml:space="preserve">Ohio Masonic Communities</t>
  </si>
  <si>
    <t xml:space="preserve">Medina, OH</t>
  </si>
  <si>
    <t xml:space="preserve">19 villas (1100 – 1699 sq ft)</t>
  </si>
  <si>
    <t xml:space="preserve">Campus amenities (wood shop; computer lab; wellness center)</t>
  </si>
  <si>
    <t xml:space="preserve">3 meals provided daily</t>
  </si>
  <si>
    <t xml:space="preserve">(via campus amenities) Campus amenities (wood shop; computer lab; wellness center)</t>
  </si>
  <si>
    <t xml:space="preserve">Water and sewer included; Wi-Fi and basic cable included</t>
  </si>
  <si>
    <t xml:space="preserve">1998</t>
  </si>
  <si>
    <t xml:space="preserve">Provision Living at West Clermont</t>
  </si>
  <si>
    <t xml:space="preserve">Provision Living Senior Communities</t>
  </si>
  <si>
    <t xml:space="preserve">Batavia, OH</t>
  </si>
  <si>
    <t xml:space="preserve">15 villa</t>
  </si>
  <si>
    <t xml:space="preserve">Concierge</t>
  </si>
  <si>
    <t xml:space="preserve">Ohio Holiday Acquisitions (Cincinnati)</t>
  </si>
  <si>
    <t xml:space="preserve">2021</t>
  </si>
  <si>
    <t xml:space="preserve">Solarbron</t>
  </si>
  <si>
    <t xml:space="preserve">CarDon &amp; Associates</t>
  </si>
  <si>
    <t xml:space="preserve">Evansville, IN</t>
  </si>
  <si>
    <t xml:space="preserve">9 villa</t>
  </si>
  <si>
    <t xml:space="preserve">Campus amenities (shuffleboard courts; billiards/games room; fitness center; business center; private fishing lake; vegetable/flower gardens)</t>
  </si>
  <si>
    <t xml:space="preserve">(via campus amenities) Campus amenities (shuffleboard courts; billiards/games room; fitness center; business center; private fishing lake; vegetable/flower gardens)</t>
  </si>
  <si>
    <t xml:space="preserve">Emergency alert system</t>
  </si>
  <si>
    <t xml:space="preserve">Basic cable, water, sewer, and trash removal</t>
  </si>
  <si>
    <t xml:space="preserve">2-3 Bed/2 Bath; Attached double garage; Laundry room with washer/dryer hookups</t>
  </si>
  <si>
    <t xml:space="preserve">Indiana Holiday Acquisitions (Evansville)</t>
  </si>
  <si>
    <t xml:space="preserve">The Village at Hamilton Pointe</t>
  </si>
  <si>
    <t xml:space="preserve">TLC Management</t>
  </si>
  <si>
    <t xml:space="preserve">Newburgh, IN</t>
  </si>
  <si>
    <t xml:space="preserve">24 villas</t>
  </si>
  <si>
    <t xml:space="preserve">Gardens; Campus amenities (movie theater; salon/spa; therapy gym)</t>
  </si>
  <si>
    <t xml:space="preserve">“Deliciously prepared chef inspired meals” (doesn’t specify which or how many daily)</t>
  </si>
  <si>
    <t xml:space="preserve">(via campus amenities) Campus amenities (movie theater; salon/spa; therapy gym)</t>
  </si>
  <si>
    <t xml:space="preserve">Paid utilities</t>
  </si>
  <si>
    <t xml:space="preserve">One- and two-bedroom cottages – 1 bath; Washers/dryers (two-bedroom layouts only); Porches</t>
  </si>
  <si>
    <t xml:space="preserve">2013</t>
  </si>
  <si>
    <t xml:space="preserve">Athens Crossing at Four Seasons</t>
  </si>
  <si>
    <t xml:space="preserve">BHI Senior Living</t>
  </si>
  <si>
    <t xml:space="preserve">Columbus, IN</t>
  </si>
  <si>
    <t xml:space="preserve">12 villas (1850 – 2400 sq ft)</t>
  </si>
  <si>
    <t xml:space="preserve">Campus amenities (indoor pool; fitness center; dog park; rehab center)</t>
  </si>
  <si>
    <t xml:space="preserve">(via campus amenities) Campus amenities (indoor pool; fitness center; dog park; rehab center)</t>
  </si>
  <si>
    <t xml:space="preserve">Utilities included (excluding cable, phone, and internet)</t>
  </si>
  <si>
    <t xml:space="preserve">2 Bed/2 Bath; In-unit washer/dryer; Fireplace; Patio or covered porch; Island kitchen counter; Attached two-car garage</t>
  </si>
  <si>
    <t xml:space="preserve">Indiana Holiday Acquisitions (Columbus/Indianapolis)</t>
  </si>
  <si>
    <t xml:space="preserve">Traditions of Columbus</t>
  </si>
  <si>
    <t xml:space="preserve">Traditions Management</t>
  </si>
  <si>
    <t xml:space="preserve">30 villas (1481 – 1530 sq ft)</t>
  </si>
  <si>
    <t xml:space="preserve">Campus amenities (pub; chapel; movie theater; fitness center; salon)</t>
  </si>
  <si>
    <t xml:space="preserve">(via campus amenities) Campus amenities (pub; chapel; movie theater; fitness center; salon)</t>
  </si>
  <si>
    <t xml:space="preserve">Gated security; Emergency response system</t>
  </si>
  <si>
    <t xml:space="preserve">All utilities, including cable &amp; internet</t>
  </si>
  <si>
    <t xml:space="preserve">2 Bed/2 Bath; Attached single-car garage; In-unit washer/dryer; Covered porch/patio</t>
  </si>
  <si>
    <t xml:space="preserve">The Heritage at Brentwood</t>
  </si>
  <si>
    <t xml:space="preserve">Life Care Services LLC</t>
  </si>
  <si>
    <t xml:space="preserve">Brentwood, TN</t>
  </si>
  <si>
    <t xml:space="preserve">65 villas (1803 – 2171 sq ft)</t>
  </si>
  <si>
    <t xml:space="preserve">Campus amenities (multiple dining venues; putting green; bocce court; woodworking shop; art studio; greenhouse/gardening area; market; medical clinic; bank services)</t>
  </si>
  <si>
    <t xml:space="preserve">(via campus amenities) Campus amenities (multiple dining venues; putting green; bocce court; woodworking shop; art studio; greenhouse/gardening area; market; medical clinic; bank services)</t>
  </si>
  <si>
    <t xml:space="preserve">Cable TV and Wi-Fi</t>
  </si>
  <si>
    <t xml:space="preserve">2-3 Bed/2-3 Bath; Attached garage; In-unit washer/dryer</t>
  </si>
  <si>
    <t xml:space="preserve">Tennessee Holiday Acquisitions (Franklin)</t>
  </si>
  <si>
    <t xml:space="preserve">2009</t>
  </si>
  <si>
    <t xml:space="preserve">Holiday Mallard Point</t>
  </si>
  <si>
    <t xml:space="preserve">Holiday/Atria</t>
  </si>
  <si>
    <t xml:space="preserve">Cedar Falls, IA</t>
  </si>
  <si>
    <t xml:space="preserve">8 villas (743 sq ft)</t>
  </si>
  <si>
    <t xml:space="preserve">$3239</t>
  </si>
  <si>
    <t xml:space="preserve">Campus amenities (billiards; fitness room; salon)</t>
  </si>
  <si>
    <t xml:space="preserve">(via campus amenities) Campus amenities (billiards; fitness room; salon)</t>
  </si>
  <si>
    <t xml:space="preserve">Iowa Holiday Acquisitions (Cedar Falls)</t>
  </si>
  <si>
    <t xml:space="preserve">Windcrest</t>
  </si>
  <si>
    <t xml:space="preserve">Western Home Communities</t>
  </si>
  <si>
    <t xml:space="preserve">174 villas (1150 – 1450 sq ft)</t>
  </si>
  <si>
    <t xml:space="preserve">Campus amenities (pub; salon; wellness/aquatic center; chapel; therapy; market; fine dining)</t>
  </si>
  <si>
    <t xml:space="preserve">(via campus amenities) Campus amenities (pub; salon; wellness/aquatic center; chapel; therapy; market; fine dining)</t>
  </si>
  <si>
    <t xml:space="preserve">Lawn Care and Mowing; Snow Removal; Service requests</t>
  </si>
  <si>
    <t xml:space="preserve">2000</t>
  </si>
  <si>
    <t xml:space="preserve">Friendship Village</t>
  </si>
  <si>
    <t xml:space="preserve">Waterloo, IA</t>
  </si>
  <si>
    <t xml:space="preserve">8 villas</t>
  </si>
  <si>
    <t xml:space="preserve">Campus amenities (chapel w/ chaplain; billiards; woodshop; media center; library; bistro)</t>
  </si>
  <si>
    <t xml:space="preserve">Included meals</t>
  </si>
  <si>
    <t xml:space="preserve">Housekeeping services</t>
  </si>
  <si>
    <t xml:space="preserve">Attached two-car garage</t>
  </si>
  <si>
    <t xml:space="preserve">Landmark Commons</t>
  </si>
  <si>
    <t xml:space="preserve">15 villas</t>
  </si>
  <si>
    <t xml:space="preserve">Campus amenities (bistro; craft room; woodshop; billiards; wellness center w/ pool)</t>
  </si>
  <si>
    <t xml:space="preserve">Continental breakfast</t>
  </si>
  <si>
    <t xml:space="preserve">Weekly housekeeping</t>
  </si>
  <si>
    <t xml:space="preserve">(via campus amenities) Campus amenities (bistro; craft room; woodshop; billiards; wellness center w/ pool)</t>
  </si>
  <si>
    <t xml:space="preserve">Utilities, including Cable, Internet &amp; Phone</t>
  </si>
  <si>
    <t xml:space="preserve">NewAldaya Lifescapes</t>
  </si>
  <si>
    <t xml:space="preserve">NewAldaya</t>
  </si>
  <si>
    <t xml:space="preserve">14 villas (Park Ridge Ranches; 650 – 1300 sq ft)</t>
  </si>
  <si>
    <t xml:space="preserve">Campus amenities (general store; spa; pub; wellness center; chapel; café)</t>
  </si>
  <si>
    <t xml:space="preserve">(via campus amenities) Campus amenities (general store; spa; pub; wellness center; chapel; café)</t>
  </si>
  <si>
    <t xml:space="preserve">In-unit washer/dryer; Some w/ attached garages; Private patio</t>
  </si>
  <si>
    <t xml:space="preserve">Brio of Johnston</t>
  </si>
  <si>
    <t xml:space="preserve">Wesley Life, Inc.</t>
  </si>
  <si>
    <t xml:space="preserve">Johnston, IA</t>
  </si>
  <si>
    <t xml:space="preserve">19 villas</t>
  </si>
  <si>
    <t xml:space="preserve">Campus amenities:; Library; Salon; Chapel; General Store; Onsite banking; Bistro</t>
  </si>
  <si>
    <t xml:space="preserve">Wellness/fitness center</t>
  </si>
  <si>
    <t xml:space="preserve">Iowa Holiday Acquisitions (Des Moines)</t>
  </si>
  <si>
    <t xml:space="preserve">2018</t>
  </si>
  <si>
    <t xml:space="preserve">Deerfield Retirement Community</t>
  </si>
  <si>
    <t xml:space="preserve">Immanuel Communities</t>
  </si>
  <si>
    <t xml:space="preserve">Urbandale, IA</t>
  </si>
  <si>
    <t xml:space="preserve">18 villas (1920+ sq ft)</t>
  </si>
  <si>
    <t xml:space="preserve">Campus amenities (bistro; convenience store; woodworking shop; game room; fishing dock/pond; cocktail lounge; access to walking/biking trails)</t>
  </si>
  <si>
    <t xml:space="preserve">Paid utilities, including cable</t>
  </si>
  <si>
    <t xml:space="preserve">Attached two-car garage; Private patio</t>
  </si>
  <si>
    <t xml:space="preserve">2005</t>
  </si>
  <si>
    <t xml:space="preserve">Valley View Village</t>
  </si>
  <si>
    <t xml:space="preserve">Cassia – An Augustana/Elim Affiliation</t>
  </si>
  <si>
    <t xml:space="preserve">Des Moines, IA</t>
  </si>
  <si>
    <t xml:space="preserve">36 villas (600 – 1200 sq ft)</t>
  </si>
  <si>
    <t xml:space="preserve">$300 extra for units w/ a washer/dryer | $804 for a one-bedroom cottage apartment | $1282 – 1823 for a two-bedroom apartment</t>
  </si>
  <si>
    <t xml:space="preserve">Community amenities (café; salon; library; rehab)</t>
  </si>
  <si>
    <t xml:space="preserve">(via campus amenities) Community amenities (café; salon; library; rehab)</t>
  </si>
  <si>
    <t xml:space="preserve">All utilities/taxes included except phone and cable</t>
  </si>
  <si>
    <t xml:space="preserve">Many w/ in-unit washer/dryer; Reserved parking space</t>
  </si>
  <si>
    <t xml:space="preserve">1962</t>
  </si>
  <si>
    <t xml:space="preserve">Attic Angel Community</t>
  </si>
  <si>
    <t xml:space="preserve">Middleton, WI</t>
  </si>
  <si>
    <t xml:space="preserve">123 villas (1375 – 2300 sq ft)</t>
  </si>
  <si>
    <t xml:space="preserve">Community amenities (fitness room; art studio; library; computer lab; café)</t>
  </si>
  <si>
    <t xml:space="preserve">Meal plans/housekeeping/laundry extra</t>
  </si>
  <si>
    <t xml:space="preserve">(via campus amenities) Community amenities (fitness room; art studio; library; computer lab; café)</t>
  </si>
  <si>
    <t xml:space="preserve">Optional daily check-in service</t>
  </si>
  <si>
    <t xml:space="preserve">Exterior/interior maintenance</t>
  </si>
  <si>
    <t xml:space="preserve">Utilities/cable/internet/municipal fees extra</t>
  </si>
  <si>
    <t xml:space="preserve">Attached 1- and 2-car garage</t>
  </si>
  <si>
    <t xml:space="preserve">Madison, WI – October 2022</t>
  </si>
  <si>
    <t xml:space="preserve">Waunakee Valley Senior Living</t>
  </si>
  <si>
    <t xml:space="preserve">Trilogy Health Services, LLC</t>
  </si>
  <si>
    <t xml:space="preserve">Waunakee, WI</t>
  </si>
  <si>
    <t xml:space="preserve">$3025 for a one bedroom villa</t>
  </si>
  <si>
    <t xml:space="preserve">Campus amenities (fitness center; café; salon)</t>
  </si>
  <si>
    <t xml:space="preserve">Bi-monthly “interior cleaning services”</t>
  </si>
  <si>
    <t xml:space="preserve">(via campus amenities) Campus amenities (fitness center; café; salon)</t>
  </si>
  <si>
    <t xml:space="preserve">24 hour emergency maintenance</t>
  </si>
  <si>
    <t xml:space="preserve">Attached garage; Private patio; Washer and dryer</t>
  </si>
  <si>
    <t xml:space="preserve">Laurel Lake</t>
  </si>
  <si>
    <t xml:space="preserve">Laurel Lake Retirement Community</t>
  </si>
  <si>
    <t xml:space="preserve">Hudson, OH</t>
  </si>
  <si>
    <t xml:space="preserve">66 villas (1500 – 2025 sq ft)</t>
  </si>
  <si>
    <t xml:space="preserve">Campus amenities (pub; grille; convenience/gift shop; library/DVD center; chapels; greenhouse; woodworking/hobby shop; indoor pool &amp; therapy spa; wellness center); Nature Trails; Stocked fishing lakes; Par 3 golf course; Community garden</t>
  </si>
  <si>
    <t xml:space="preserve">Bi-weekly housekeeping; weekly linen service</t>
  </si>
  <si>
    <t xml:space="preserve">(via campus amenities) Campus amenities (pub; grille; convenience/gift shop; library/DVD center; chapels; greenhouse; woodworking/hobby shop; indoor pool &amp; therapy spa; wellness center)</t>
  </si>
  <si>
    <t xml:space="preserve">Wireless emergency call system</t>
  </si>
  <si>
    <t xml:space="preserve">All utilities included except phone; Basic cable</t>
  </si>
  <si>
    <t xml:space="preserve">Attached 1- and 2-car garage; In-unit washer/dryer; Private patio</t>
  </si>
  <si>
    <t xml:space="preserve">American House Macedonia (Cleveland)</t>
  </si>
  <si>
    <t xml:space="preserve">Jennings at Notre Dame Village</t>
  </si>
  <si>
    <t xml:space="preserve">Jennings/Sisters of Notre Dame</t>
  </si>
  <si>
    <t xml:space="preserve">Chardon, OH</t>
  </si>
  <si>
    <t xml:space="preserve">40 villas (2100 sq ft)</t>
  </si>
  <si>
    <t xml:space="preserve">Below-listed rates are “effective July 1, 2022” . | $2950</t>
  </si>
  <si>
    <t xml:space="preserve">Campus amenities (therapy/rehab; fitness studio; etc.)</t>
  </si>
  <si>
    <t xml:space="preserve">(via campus amenities) Campus amenities (therapy/rehab; fitness studio; etc.)</t>
  </si>
  <si>
    <t xml:space="preserve">Water and sewer</t>
  </si>
  <si>
    <t xml:space="preserve">Attached 2 ½ car garage; In-unit washer/drier in laundry room; Private porch</t>
  </si>
  <si>
    <t xml:space="preserve">Cleveland – Shaker Heights</t>
  </si>
  <si>
    <t xml:space="preserve">Vitalia at Stow</t>
  </si>
  <si>
    <t xml:space="preserve">Stow, OH</t>
  </si>
  <si>
    <t xml:space="preserve">6 villas</t>
  </si>
  <si>
    <t xml:space="preserve">Campus amenities (wellness center; library; demonstration kitchen; indoor pool; bistro; movie theater; billiards)</t>
  </si>
  <si>
    <t xml:space="preserve">(via campus amenities) Campus amenities (wellness center; library; demonstration kitchen; indoor pool; bistro; movie theater; billiards)</t>
  </si>
  <si>
    <t xml:space="preserve">Hudson/SE Cleveland – Fall 2021</t>
  </si>
  <si>
    <t xml:space="preserve">2019</t>
  </si>
  <si>
    <t xml:space="preserve">Vitalia at Montrose</t>
  </si>
  <si>
    <t xml:space="preserve">Copley, OH</t>
  </si>
  <si>
    <t xml:space="preserve">Echelon of Medina, OH (SE Cleveland)</t>
  </si>
  <si>
    <t xml:space="preserve">Opened 2020</t>
  </si>
  <si>
    <t xml:space="preserve">Kirkland Crossings</t>
  </si>
  <si>
    <t xml:space="preserve">Presbyterian Homes &amp; Services</t>
  </si>
  <si>
    <t xml:space="preserve">Pewaukee, WI</t>
  </si>
  <si>
    <t xml:space="preserve">22 villas (1-57 – 1667 sq ft)</t>
  </si>
  <si>
    <t xml:space="preserve">Cable; Telephone service; Property tax and building insurance</t>
  </si>
  <si>
    <t xml:space="preserve">Milwaukee 2022 Market Shops (Pewaukee)</t>
  </si>
  <si>
    <t xml:space="preserve">Opened 2001</t>
  </si>
  <si>
    <t xml:space="preserve">The Waters of Pewaukee</t>
  </si>
  <si>
    <t xml:space="preserve">The Waters Senior Living Management, LLC</t>
  </si>
  <si>
    <t xml:space="preserve">Waukesha, WI</t>
  </si>
  <si>
    <t xml:space="preserve">30 villas</t>
  </si>
  <si>
    <t xml:space="preserve">Three Pillars Senior Living</t>
  </si>
  <si>
    <t xml:space="preserve">Three Pillars Senior Living Communities</t>
  </si>
  <si>
    <t xml:space="preserve">Dousman, WI</t>
  </si>
  <si>
    <t xml:space="preserve">61 villas (1058 – 1375 sq ft)</t>
  </si>
  <si>
    <t xml:space="preserve">Entry Fee: $284,000 - $695,000</t>
  </si>
  <si>
    <t xml:space="preserve">Interior/exterior maintenance/groundskeeping</t>
  </si>
  <si>
    <t xml:space="preserve">Property taxes, water, and sewer</t>
  </si>
  <si>
    <t xml:space="preserve">Private porch/patio; Washer/dryer w/ laundry room</t>
  </si>
  <si>
    <t xml:space="preserve">Milwaukee 2022 Market Shops (Delafield)</t>
  </si>
  <si>
    <t xml:space="preserve">Opened 1991</t>
  </si>
  <si>
    <t xml:space="preserve">Traditions at North Willow</t>
  </si>
  <si>
    <t xml:space="preserve">Traditions</t>
  </si>
  <si>
    <t xml:space="preserve">Indianapolis, IN</t>
  </si>
  <si>
    <t xml:space="preserve">50 villas (850 – 1300 sq ft)</t>
  </si>
  <si>
    <t xml:space="preserve">Clubhouse with fitness center; Enclosed dog park</t>
  </si>
  <si>
    <t xml:space="preserve">(via campus amenities) Clubhouse with fitness center</t>
  </si>
  <si>
    <t xml:space="preserve">Gated security; Emergency call system</t>
  </si>
  <si>
    <t xml:space="preserve">All utilities</t>
  </si>
  <si>
    <t xml:space="preserve">Attached single-car garage; In-unit washer/dryer</t>
  </si>
  <si>
    <t xml:space="preserve">Indianapolis – Anthology Meridian Hills Acquisition</t>
  </si>
  <si>
    <t xml:space="preserve">Traditions at Solana</t>
  </si>
  <si>
    <t xml:space="preserve">24 villas (1134 – 1818 sq ft)</t>
  </si>
  <si>
    <t xml:space="preserve">30 meals/month</t>
  </si>
  <si>
    <t xml:space="preserve">Interior/exterior maintenance/housekeeping</t>
  </si>
  <si>
    <t xml:space="preserve">Attached one-car garage; In-unit washer/dryer</t>
  </si>
  <si>
    <t xml:space="preserve">2016</t>
  </si>
  <si>
    <t xml:space="preserve">Marquette</t>
  </si>
  <si>
    <t xml:space="preserve">Entry Fee CCRC</t>
  </si>
  <si>
    <t xml:space="preserve">36 villas</t>
  </si>
  <si>
    <t xml:space="preserve">“Maintenance-free living”</t>
  </si>
  <si>
    <t xml:space="preserve">Internet and all utilities</t>
  </si>
  <si>
    <t xml:space="preserve">Attached one- or two-car garage; In-unit washer/dryer</t>
  </si>
  <si>
    <t xml:space="preserve">Indianapolis – Anthology Meridian Acquisition</t>
  </si>
  <si>
    <t xml:space="preserve">1981</t>
  </si>
  <si>
    <t xml:space="preserve">Five Star Residences of Clearwater</t>
  </si>
  <si>
    <t xml:space="preserve">Five Star Senior Living</t>
  </si>
  <si>
    <t xml:space="preserve">Villa &amp; AL</t>
  </si>
  <si>
    <t xml:space="preserve">11 villas</t>
  </si>
  <si>
    <t xml:space="preserve">Three daily meals</t>
  </si>
  <si>
    <t xml:space="preserve">Weekly housekeeping and flat linen service; Interior/exterior maintenance/housekeeping</t>
  </si>
  <si>
    <t xml:space="preserve">24/7 concierge service</t>
  </si>
  <si>
    <t xml:space="preserve">Attached garage</t>
  </si>
  <si>
    <t xml:space="preserve">Indianapolis Anthology Meridian Acquisition</t>
  </si>
  <si>
    <t xml:space="preserve">Opened 1995</t>
  </si>
  <si>
    <t xml:space="preserve">The Stratford</t>
  </si>
  <si>
    <t xml:space="preserve">Weller Life Communities</t>
  </si>
  <si>
    <t xml:space="preserve">Carmel, IN</t>
  </si>
  <si>
    <t xml:space="preserve">40 villas (1132 – 2346 sq ft)</t>
  </si>
  <si>
    <t xml:space="preserve">Cottage Homes start at $3690</t>
  </si>
  <si>
    <t xml:space="preserve">“Daily dining” ($600 monthly towards onsite dining menus)</t>
  </si>
  <si>
    <t xml:space="preserve">Weekly and annual spring cleaning</t>
  </si>
  <si>
    <t xml:space="preserve">“Maintenance-Free Living” and landscaping</t>
  </si>
  <si>
    <t xml:space="preserve">Utilities, property taxes/insurance, and cable</t>
  </si>
  <si>
    <t xml:space="preserve">North Indianapolis, IN (Carmel, IN)</t>
  </si>
  <si>
    <t xml:space="preserve">2008</t>
  </si>
  <si>
    <t xml:space="preserve">Hoosier Village</t>
  </si>
  <si>
    <t xml:space="preserve">212 villas</t>
  </si>
  <si>
    <t xml:space="preserve">Utilities (except electric and phone)</t>
  </si>
  <si>
    <t xml:space="preserve">Attached two-car garage; Full-sized washer/dryer</t>
  </si>
  <si>
    <t xml:space="preserve">1952</t>
  </si>
  <si>
    <t xml:space="preserve">Five Star Senior Residences of Noblesville</t>
  </si>
  <si>
    <t xml:space="preserve">Noblesville, IN</t>
  </si>
  <si>
    <t xml:space="preserve">54 villas</t>
  </si>
  <si>
    <t xml:space="preserve">Starting at $2050</t>
  </si>
  <si>
    <t xml:space="preserve">Interior/exterior maintenance/housekeeping; Weekly housekeeping and flat linen service</t>
  </si>
  <si>
    <t xml:space="preserve">Patio/porch; In-unit washer/dryer</t>
  </si>
  <si>
    <t xml:space="preserve">Zionsville Meadows</t>
  </si>
  <si>
    <t xml:space="preserve">American Senior Communities</t>
  </si>
  <si>
    <t xml:space="preserve">Zionsville, IN</t>
  </si>
  <si>
    <t xml:space="preserve">60 villas</t>
  </si>
  <si>
    <t xml:space="preserve">Garden Homes start at $1727.25</t>
  </si>
  <si>
    <t xml:space="preserve">24 hour emergency response system</t>
  </si>
  <si>
    <t xml:space="preserve">All utilities except telephone and cable</t>
  </si>
  <si>
    <t xml:space="preserve">In-unit washer/dryer; Detached garages available</t>
  </si>
  <si>
    <t xml:space="preserve">1975</t>
  </si>
  <si>
    <t xml:space="preserve">Hamilton Trace</t>
  </si>
  <si>
    <t xml:space="preserve">CarDon and Associates Inc.</t>
  </si>
  <si>
    <t xml:space="preserve">Fishers, IN</t>
  </si>
  <si>
    <t xml:space="preserve">42 villas</t>
  </si>
  <si>
    <t xml:space="preserve">Interior/exterior maintenance/housekeeping; Bi-weekly housekeeping</t>
  </si>
  <si>
    <t xml:space="preserve">Attached garage; Washer/dryer hookups</t>
  </si>
  <si>
    <t xml:space="preserve">2011 (main campus); villas opened 2015</t>
  </si>
  <si>
    <t xml:space="preserve">Traditions at Brookside</t>
  </si>
  <si>
    <t xml:space="preserve">McCordsville, IN</t>
  </si>
  <si>
    <t xml:space="preserve">2017 (main campus); villas opened 2019</t>
  </si>
  <si>
    <t xml:space="preserve">Avon Health and Rehabilitation</t>
  </si>
  <si>
    <t xml:space="preserve">Avon, IN</t>
  </si>
  <si>
    <t xml:space="preserve">Meals</t>
  </si>
  <si>
    <t xml:space="preserve">Weekly Housekeeping and linen services</t>
  </si>
  <si>
    <t xml:space="preserve">Capital Properties Acquisition Project (Prestwick/West Indiana)</t>
  </si>
  <si>
    <t xml:space="preserve">Brownsburg Meadows</t>
  </si>
  <si>
    <t xml:space="preserve">Brownsburg, IN</t>
  </si>
  <si>
    <t xml:space="preserve">23 villas</t>
  </si>
  <si>
    <t xml:space="preserve">Garden Homes start at $2065</t>
  </si>
  <si>
    <t xml:space="preserve">Some w/ attached garages</t>
  </si>
  <si>
    <t xml:space="preserve">2006</t>
  </si>
  <si>
    <t xml:space="preserve">Sugar Grove Senior Living</t>
  </si>
  <si>
    <t xml:space="preserve">Tutera Senior Living &amp; Health Care</t>
  </si>
  <si>
    <t xml:space="preserve">Plainfield, IN</t>
  </si>
  <si>
    <t xml:space="preserve">48 villas (832 – 1363 sq ft)</t>
  </si>
  <si>
    <t xml:space="preserve">All utilities, including basic cable, telephone, and Wi-Fi</t>
  </si>
  <si>
    <t xml:space="preserve">Washer/dryer hookups; Some include attached garage</t>
  </si>
  <si>
    <t xml:space="preserve">2010</t>
  </si>
  <si>
    <t xml:space="preserve">Summit Place West</t>
  </si>
  <si>
    <t xml:space="preserve">Magnolia Management Inc</t>
  </si>
  <si>
    <t xml:space="preserve">35 villas</t>
  </si>
  <si>
    <t xml:space="preserve">None confirmed on website – call for more info</t>
  </si>
  <si>
    <t xml:space="preserve">Traditions at Reagan Park</t>
  </si>
  <si>
    <t xml:space="preserve">44 villas (927 – 1615 sq ft)</t>
  </si>
  <si>
    <t xml:space="preserve">Emergency Pendant</t>
  </si>
  <si>
    <t xml:space="preserve">In-unit washer/dryer; Some w/ attached garages</t>
  </si>
  <si>
    <t xml:space="preserve">2014</t>
  </si>
  <si>
    <t xml:space="preserve">Woodland Terrace of Danville</t>
  </si>
  <si>
    <t xml:space="preserve">New Perspective Senior Living</t>
  </si>
  <si>
    <t xml:space="preserve">Danville, IN</t>
  </si>
  <si>
    <t xml:space="preserve">16 villas (1225 – 1663 sq ft); 14 two-bedroom units, 2 three-bedroom units</t>
  </si>
  <si>
    <t xml:space="preserve">Rent starting at $2730</t>
  </si>
  <si>
    <t xml:space="preserve">Bi-Weekly housekeeping; Interior/exterior maintenance/housekeeping</t>
  </si>
  <si>
    <t xml:space="preserve">Utilities paid; Wi-Fi</t>
  </si>
  <si>
    <t xml:space="preserve">Attached two-car garage; In-unit washer/dryer</t>
  </si>
  <si>
    <t xml:space="preserve">2020 (main building opened 2022)</t>
  </si>
  <si>
    <t xml:space="preserve">Westminster Village North</t>
  </si>
  <si>
    <t xml:space="preserve">Westminster Village North Board of Directors</t>
  </si>
  <si>
    <t xml:space="preserve">41 villas ( 1333 – 1700 sq ft)</t>
  </si>
  <si>
    <t xml:space="preserve">Entry Fees: $165,000 - $200,000+</t>
  </si>
  <si>
    <t xml:space="preserve">Capital Properties Acquisition Project (Windermere/Fishers)</t>
  </si>
  <si>
    <t xml:space="preserve">1972</t>
  </si>
  <si>
    <t xml:space="preserve">Green Oaks Senior Living</t>
  </si>
  <si>
    <t xml:space="preserve">Spectrum</t>
  </si>
  <si>
    <t xml:space="preserve">Libertyville, IL</t>
  </si>
  <si>
    <t xml:space="preserve">12 villas</t>
  </si>
  <si>
    <t xml:space="preserve">None confirmed</t>
  </si>
  <si>
    <t xml:space="preserve">Capital Properties Acquisition Project (Libertyville)</t>
  </si>
  <si>
    <t xml:space="preserve">Lake Forest Place</t>
  </si>
  <si>
    <t xml:space="preserve">Lake Forest, IL</t>
  </si>
  <si>
    <t xml:space="preserve">114 villas (1722 – 2392 sq ft)</t>
  </si>
  <si>
    <t xml:space="preserve">Monthly fee starting at $6860; Entrance Fees starting at $545,800</t>
  </si>
  <si>
    <t xml:space="preserve">$490 in meals</t>
  </si>
  <si>
    <t xml:space="preserve">Weekly Housekeeping services</t>
  </si>
  <si>
    <t xml:space="preserve">Emergency Call System</t>
  </si>
  <si>
    <t xml:space="preserve">Interior/exterior maintenance</t>
  </si>
  <si>
    <t xml:space="preserve">Utilities included</t>
  </si>
  <si>
    <t xml:space="preserve">Attached two-car garage; In-unit washer/dryer w/ laundry room; Private patio</t>
  </si>
  <si>
    <t xml:space="preserve">Villa St. Benedict</t>
  </si>
  <si>
    <t xml:space="preserve">Benedictine Health Systems &amp; Benedictine Sisters of Saint Scholastica</t>
  </si>
  <si>
    <t xml:space="preserve">Lisle, IL</t>
  </si>
  <si>
    <t xml:space="preserve">56 villas (1200 – 1360 sq ft)</t>
  </si>
  <si>
    <t xml:space="preserve">Weekly housekeeping and linen service</t>
  </si>
  <si>
    <t xml:space="preserve">Emergency response system, including cable, internet, and phone</t>
  </si>
  <si>
    <t xml:space="preserve">Emergency response system, including cable, internet, and phone; All utilities</t>
  </si>
  <si>
    <t xml:space="preserve">Capital Properties Acquisition Project (Naperville)</t>
  </si>
  <si>
    <t xml:space="preserve">Wyndemere</t>
  </si>
  <si>
    <t xml:space="preserve">Wheaton, IL</t>
  </si>
  <si>
    <t xml:space="preserve">26 villas</t>
  </si>
  <si>
    <t xml:space="preserve">Attached two-car garage; In-unit washer/dryer w/ laundry room</t>
  </si>
  <si>
    <t xml:space="preserve">1968</t>
  </si>
  <si>
    <t xml:space="preserve">Alden of Waterford</t>
  </si>
  <si>
    <t xml:space="preserve">Alden Management Services Inc.</t>
  </si>
  <si>
    <t xml:space="preserve">Aurora, IL</t>
  </si>
  <si>
    <t xml:space="preserve">67 villas</t>
  </si>
  <si>
    <t xml:space="preserve">Amenities not confirmed online</t>
  </si>
  <si>
    <t xml:space="preserve">2002</t>
  </si>
  <si>
    <t xml:space="preserve">Tabor Hills</t>
  </si>
  <si>
    <t xml:space="preserve">Tabor Hills Corporate</t>
  </si>
  <si>
    <t xml:space="preserve">Naperville, IL</t>
  </si>
  <si>
    <t xml:space="preserve">104 villas</t>
  </si>
  <si>
    <t xml:space="preserve">Landscaping and grounds maintenance</t>
  </si>
  <si>
    <t xml:space="preserve">In-unit washer/dryer w/ utility room; Water, sewer, and trash service</t>
  </si>
  <si>
    <t xml:space="preserve">Attached, “extra-deep” garage; In-unit washer/dryer w/ utility room</t>
  </si>
  <si>
    <t xml:space="preserve">1994</t>
  </si>
  <si>
    <t xml:space="preserve">Green Hills Community</t>
  </si>
  <si>
    <t xml:space="preserve">Ames, IA</t>
  </si>
  <si>
    <t xml:space="preserve">82 villas (1306 – 2986 sq ft)</t>
  </si>
  <si>
    <t xml:space="preserve">Property taxes</t>
  </si>
  <si>
    <t xml:space="preserve">Attached garage; In-unit washer/dryer; Many w/ basements</t>
  </si>
  <si>
    <t xml:space="preserve">Capital Properties Acquisition Project (Ames)</t>
  </si>
  <si>
    <t xml:space="preserve">1986</t>
  </si>
  <si>
    <t xml:space="preserve">Northcrest Community</t>
  </si>
  <si>
    <t xml:space="preserve">Northcrest Foundation</t>
  </si>
  <si>
    <t xml:space="preserve">42 villas (1100 – 1850 sq ft)</t>
  </si>
  <si>
    <t xml:space="preserve">Attached one- and two-car garages; Many w/ two levels; In-unit washer/dryer; Private patio</t>
  </si>
  <si>
    <t xml:space="preserve">1965</t>
  </si>
  <si>
    <t xml:space="preserve">Pacific Springs Village</t>
  </si>
  <si>
    <t xml:space="preserve">Omaha, NE</t>
  </si>
  <si>
    <t xml:space="preserve">Rental-only continuum</t>
  </si>
  <si>
    <t xml:space="preserve">52 villas (920 – 2323 sq ft)</t>
  </si>
  <si>
    <t xml:space="preserve">“Home maintenance, including grounds, housekeeping and repairs”</t>
  </si>
  <si>
    <t xml:space="preserve">Emergency alert system; 24 hour security</t>
  </si>
  <si>
    <t xml:space="preserve">Utilities, including cable</t>
  </si>
  <si>
    <t xml:space="preserve">Some w/ two levels; Attached garages</t>
  </si>
  <si>
    <t xml:space="preserve">Capital Properties Acquisition Project (Omaha)</t>
  </si>
  <si>
    <t xml:space="preserve">2013 (patio homes); community opened 2002</t>
  </si>
  <si>
    <t xml:space="preserve">Hillcrest Country Village</t>
  </si>
  <si>
    <t xml:space="preserve">Hillcrest Health Services</t>
  </si>
  <si>
    <t xml:space="preserve">Papillion, NE</t>
  </si>
  <si>
    <t xml:space="preserve">Interior/exterior upkeep</t>
  </si>
  <si>
    <t xml:space="preserve">Trash service; Taxes/insurance included</t>
  </si>
  <si>
    <t xml:space="preserve">Finished basements available; Attached two-car garage</t>
  </si>
  <si>
    <t xml:space="preserve">Opened 2008</t>
  </si>
  <si>
    <t xml:space="preserve">Richmont Village</t>
  </si>
  <si>
    <t xml:space="preserve">MJ Senior Housing</t>
  </si>
  <si>
    <t xml:space="preserve">Bellevue, NE</t>
  </si>
  <si>
    <t xml:space="preserve">10 villas</t>
  </si>
  <si>
    <t xml:space="preserve">Georgetown Place</t>
  </si>
  <si>
    <t xml:space="preserve">Sonida Senior Living</t>
  </si>
  <si>
    <t xml:space="preserve">Fort Wayne, IN</t>
  </si>
  <si>
    <t xml:space="preserve">13 villas (1286 sq ft)</t>
  </si>
  <si>
    <t xml:space="preserve">Attached garage; Patio; In-unit washer/dryer</t>
  </si>
  <si>
    <t xml:space="preserve">Capital Properties Acquisition Project (Fort Wayne)</t>
  </si>
  <si>
    <t xml:space="preserve">Five Star Residences of Fort Wayne</t>
  </si>
  <si>
    <t xml:space="preserve">24 villas (1200 – 1355 sq ft)</t>
  </si>
  <si>
    <t xml:space="preserve">Starting at $2180</t>
  </si>
  <si>
    <t xml:space="preserve">Weekly housekeeping and linen services</t>
  </si>
  <si>
    <t xml:space="preserve">“Maintenance of home, building and grounds”</t>
  </si>
  <si>
    <t xml:space="preserve">1997</t>
  </si>
  <si>
    <t xml:space="preserve">Towne House Retirement Center</t>
  </si>
  <si>
    <t xml:space="preserve">92 villas (1850 – 2558 sq ft) 12 onsite (Chapmans Crossing); 80 at Prairie Landing (1335 Prairie Landing Parkway, Fort Wayne, IN 46804)</t>
  </si>
  <si>
    <t xml:space="preserve">Utilities (some include basic cable and local phone service)</t>
  </si>
  <si>
    <t xml:space="preserve">Attached two-car garage; In-unit washer/dryer; Patio; Some w/ extra level above garage</t>
  </si>
  <si>
    <t xml:space="preserve">Coventry Meadows</t>
  </si>
  <si>
    <t xml:space="preserve">36 villas (650 – 2970 sq ft)</t>
  </si>
  <si>
    <t xml:space="preserve">All utilities included except cable, phone, and Wi-Fi</t>
  </si>
  <si>
    <t xml:space="preserve">Some w/ two levels; Most w/ attached garages</t>
  </si>
  <si>
    <t xml:space="preserve">Piper Trail</t>
  </si>
  <si>
    <t xml:space="preserve">Lutheran Life Villages</t>
  </si>
  <si>
    <t xml:space="preserve">48 villas (1140 – 1676 sq ft)</t>
  </si>
  <si>
    <t xml:space="preserve">$1575 per month, based on an 80% refundable entrance fee</t>
  </si>
  <si>
    <t xml:space="preserve">In-unit washer/dryer; Rear-attached two-car garage</t>
  </si>
  <si>
    <t xml:space="preserve">Part of a larger CCRC campus w/ Lutheran Life Villages – The Village at Inverness</t>
  </si>
  <si>
    <t xml:space="preserve">2018 (villas); larger campus opened 2014</t>
  </si>
  <si>
    <t xml:space="preserve">Holy Cross Village – Notre Dame</t>
  </si>
  <si>
    <t xml:space="preserve">Brothers of the Holy Cross</t>
  </si>
  <si>
    <t xml:space="preserve">Notre Dame, IN</t>
  </si>
  <si>
    <t xml:space="preserve">38 villas (22 freestanding, 12 duplexes, one Quad 4-unit building)</t>
  </si>
  <si>
    <t xml:space="preserve">24/7 security; Emergency response system</t>
  </si>
  <si>
    <t xml:space="preserve">All utilities, including cable (excluding telephone and internet)</t>
  </si>
  <si>
    <t xml:space="preserve">Primrose Retirement Community of Mishawaka</t>
  </si>
  <si>
    <t xml:space="preserve">Mishawaka, IN</t>
  </si>
  <si>
    <t xml:space="preserve">8 villas (all 2 Bed/ 2 Bath, 1594 sq ft)</t>
  </si>
  <si>
    <t xml:space="preserve">Lawn care</t>
  </si>
  <si>
    <t xml:space="preserve">Utilities, including cable (excluding telephone and internet)</t>
  </si>
  <si>
    <t xml:space="preserve">Attached garage; In-unit washer/dryer; Front porch; Four season room; Gas fireplace</t>
  </si>
  <si>
    <t xml:space="preserve">2015</t>
  </si>
  <si>
    <t xml:space="preserve">Southfield Village</t>
  </si>
  <si>
    <t xml:space="preserve">Greencroft Communities</t>
  </si>
  <si>
    <t xml:space="preserve">South Bend, IN</t>
  </si>
  <si>
    <t xml:space="preserve">14 villas</t>
  </si>
  <si>
    <t xml:space="preserve">All utilities included</t>
  </si>
  <si>
    <t xml:space="preserve">Full basement; Patio or porch; Attached one- and two-car garages</t>
  </si>
  <si>
    <t xml:space="preserve">2009 (villas); main campus opened 2000</t>
  </si>
  <si>
    <t xml:space="preserve">Hubbard Hill</t>
  </si>
  <si>
    <t xml:space="preserve">Elkhart, IN</t>
  </si>
  <si>
    <t xml:space="preserve">84 villas (42 duplexes); 1380 sq ft</t>
  </si>
  <si>
    <t xml:space="preserve">Exterior maintenance</t>
  </si>
  <si>
    <t xml:space="preserve">City water &amp; sewer; insurance</t>
  </si>
  <si>
    <t xml:space="preserve">Some units include basements; Attached one-car garage (416 sq ft)</t>
  </si>
  <si>
    <t xml:space="preserve">Harmony at Elkhart IN</t>
  </si>
  <si>
    <t xml:space="preserve">Opened 1977</t>
  </si>
  <si>
    <t xml:space="preserve">Five Star Residences of Banta Pointe</t>
  </si>
  <si>
    <t xml:space="preserve">22 villas (922 – 1106 sq ft)</t>
  </si>
  <si>
    <t xml:space="preserve">Monthly rates starting at $2315</t>
  </si>
  <si>
    <t xml:space="preserve">One daily meal</t>
  </si>
  <si>
    <t xml:space="preserve">Weekly housekeeping and flat linen service</t>
  </si>
  <si>
    <t xml:space="preserve">“Maintenance of home, building and grounds</t>
  </si>
  <si>
    <t xml:space="preserve">Attached garages; In-unit washer/dryer; Sunroom</t>
  </si>
  <si>
    <t xml:space="preserve">Capital Properties Acquisition Project (Greenwood/Zionsville IN)</t>
  </si>
  <si>
    <t xml:space="preserve">Otterbein Franklin</t>
  </si>
  <si>
    <t xml:space="preserve">Otterbein SeniorLife</t>
  </si>
  <si>
    <t xml:space="preserve">Franklin, IN</t>
  </si>
  <si>
    <t xml:space="preserve">158 villas (1304 – 1976 sq ft)</t>
  </si>
  <si>
    <t xml:space="preserve">“Some utilities covered”</t>
  </si>
  <si>
    <t xml:space="preserve">1956</t>
  </si>
  <si>
    <t xml:space="preserve">Greenwood Village South</t>
  </si>
  <si>
    <t xml:space="preserve">Greenwood, IN</t>
  </si>
  <si>
    <t xml:space="preserve">78 villas</t>
  </si>
  <si>
    <t xml:space="preserve">Basic cable, water, and electric</t>
  </si>
  <si>
    <t xml:space="preserve">In-unit washer/dryer; Attached two-car garage</t>
  </si>
  <si>
    <t xml:space="preserve">1996</t>
  </si>
  <si>
    <t xml:space="preserve">Compass Park</t>
  </si>
  <si>
    <t xml:space="preserve">Indiana Free Masons</t>
  </si>
  <si>
    <t xml:space="preserve">98 villas (900 – 1800 sq ft)</t>
  </si>
  <si>
    <t xml:space="preserve">Emergency Call Service; 24/7 security</t>
  </si>
  <si>
    <t xml:space="preserve">Water &amp; sewer; Trash pickup</t>
  </si>
  <si>
    <t xml:space="preserve">Covered parking, most w/ attached garages</t>
  </si>
  <si>
    <t xml:space="preserve">Opened 1916</t>
  </si>
  <si>
    <t xml:space="preserve">Rosegate Assisted Living</t>
  </si>
  <si>
    <t xml:space="preserve">ALF/SNF w/ villa</t>
  </si>
  <si>
    <t xml:space="preserve">79 villas (12 one-bedroom and 67 two-bedroom)</t>
  </si>
  <si>
    <t xml:space="preserve">Garden homes starting at $1865</t>
  </si>
  <si>
    <t xml:space="preserve">“All utilities included except telephone”</t>
  </si>
  <si>
    <t xml:space="preserve">Altenheim Community</t>
  </si>
  <si>
    <t xml:space="preserve">12 villa</t>
  </si>
  <si>
    <t xml:space="preserve">Bi-weekly Housekeeping</t>
  </si>
  <si>
    <t xml:space="preserve">Utilities (electricity, gas, water, sewer, trash); taxes</t>
  </si>
  <si>
    <t xml:space="preserve">Attached one- and two-car garage</t>
  </si>
  <si>
    <t xml:space="preserve">Beech Grove Meadows</t>
  </si>
  <si>
    <t xml:space="preserve">Beech Grove, IN</t>
  </si>
  <si>
    <t xml:space="preserve">ALF/SNF w/ villas</t>
  </si>
  <si>
    <t xml:space="preserve">Garden Homes starting at $1323</t>
  </si>
  <si>
    <t xml:space="preserve">Ohio Living Breckenridge Village</t>
  </si>
  <si>
    <t xml:space="preserve">Ohio Living</t>
  </si>
  <si>
    <t xml:space="preserve">Willoughby, OH</t>
  </si>
  <si>
    <t xml:space="preserve">75 villas (1375 – 2000 sq ft)</t>
  </si>
  <si>
    <t xml:space="preserve">Emergency system</t>
  </si>
  <si>
    <t xml:space="preserve">Basic Cable; Property tax, insurance, water, and sewer</t>
  </si>
  <si>
    <t xml:space="preserve">Attached 1-, 1 ½-, and 2-car garages</t>
  </si>
  <si>
    <t xml:space="preserve">Danbury Chardon, OH</t>
  </si>
  <si>
    <t xml:space="preserve">1923</t>
  </si>
  <si>
    <t xml:space="preserve">Vitalia Mentor</t>
  </si>
  <si>
    <t xml:space="preserve">Mentor, OH</t>
  </si>
  <si>
    <t xml:space="preserve">59 villas (1191 – 1371 sq ft)</t>
  </si>
  <si>
    <t xml:space="preserve">Attached garage; Covered patio</t>
  </si>
  <si>
    <t xml:space="preserve">2023</t>
  </si>
  <si>
    <t xml:space="preserve">The Cottages at Allen Springs</t>
  </si>
  <si>
    <t xml:space="preserve">Covenant Developments</t>
  </si>
  <si>
    <t xml:space="preserve">villas</t>
  </si>
  <si>
    <t xml:space="preserve">61 villas</t>
  </si>
  <si>
    <t xml:space="preserve">Gas, electric, property taxes, city water, sewer, cable, and internet</t>
  </si>
  <si>
    <t xml:space="preserve">Priority access to American House Jenison</t>
  </si>
  <si>
    <t xml:space="preserve">In-unit washer/dryer; Attached garages</t>
  </si>
  <si>
    <t xml:space="preserve">Considered a comp?</t>
  </si>
  <si>
    <t xml:space="preserve">Marian Village</t>
  </si>
  <si>
    <t xml:space="preserve">Franciscan Ministries</t>
  </si>
  <si>
    <t xml:space="preserve">Homer Glen, IL</t>
  </si>
  <si>
    <t xml:space="preserve">Entrance Fee CCRC</t>
  </si>
  <si>
    <t xml:space="preserve">72 villas (1126 – 1300 sq ft)</t>
  </si>
  <si>
    <t xml:space="preserve">Romeoville IL Acquisition, Jan 2022</t>
  </si>
  <si>
    <t xml:space="preserve">Rose Senior Living Avon</t>
  </si>
  <si>
    <t xml:space="preserve">Avon, OH</t>
  </si>
  <si>
    <t xml:space="preserve">76 villas (966 – 1404 sq ft)</t>
  </si>
  <si>
    <t xml:space="preserve">One Bed/One Bath: $2385 | Two Bed/Two Bath: $2985 | Two Bed/Two Bath + den: $3480</t>
  </si>
  <si>
    <t xml:space="preserve">Attached two-car garage; In-unit washer/dryer; Screened patio</t>
  </si>
  <si>
    <t xml:space="preserve">Rocky River, OH – Fall 2021</t>
  </si>
  <si>
    <t xml:space="preserve">Sprenger Health Care Towne Center</t>
  </si>
  <si>
    <t xml:space="preserve">Avon Lake, OH</t>
  </si>
  <si>
    <t xml:space="preserve">?) (Rental-only continuum</t>
  </si>
  <si>
    <t xml:space="preserve">100ish villas</t>
  </si>
  <si>
    <t xml:space="preserve">No mention of villas on website or NIC Maps</t>
  </si>
  <si>
    <t xml:space="preserve">Pomeroy Orion</t>
  </si>
  <si>
    <t xml:space="preserve">Pomeroy Living</t>
  </si>
  <si>
    <t xml:space="preserve">Lake Orion, MI</t>
  </si>
  <si>
    <t xml:space="preserve">16 villas (1319 – 1625 sq ft)</t>
  </si>
  <si>
    <t xml:space="preserve">Blossom Ridge</t>
  </si>
  <si>
    <t xml:space="preserve">Moceri Companies</t>
  </si>
  <si>
    <t xml:space="preserve">Rochester, MI</t>
  </si>
  <si>
    <t xml:space="preserve">89 villas (1100 – 3184 sq ft)</t>
  </si>
  <si>
    <t xml:space="preserve">“Chef prepared dining options, light housekeeping, linen service, concierge service, resort-style amenities, planned activities, maintenance-free living and much more are included.”</t>
  </si>
  <si>
    <t xml:space="preserve">Attached garage; In-unit washer/dryer; Some w/ basements</t>
  </si>
  <si>
    <t xml:space="preserve">Baptist Manor</t>
  </si>
  <si>
    <t xml:space="preserve">Detroit Baptist Manor</t>
  </si>
  <si>
    <t xml:space="preserve">Farmington Hills, MI</t>
  </si>
  <si>
    <t xml:space="preserve">28 villas</t>
  </si>
  <si>
    <t xml:space="preserve">$1200 - $1400 (quad; 823-936 sq ft); $1800 (duplex; 1200 sq ft)</t>
  </si>
  <si>
    <t xml:space="preserve">Gas, water, sewage, and heat (tenant pays for electricity)</t>
  </si>
  <si>
    <t xml:space="preserve">Car port (quads; duplexes include attached garage); Laundry/utility room</t>
  </si>
  <si>
    <t xml:space="preserve">1988</t>
  </si>
  <si>
    <t xml:space="preserve">Sanctuary at Marian Oakland</t>
  </si>
  <si>
    <t xml:space="preserve">Trinity Senior Living Communities</t>
  </si>
  <si>
    <t xml:space="preserve">81 “villas” – interconnected apartment blocs w/ townhome-style private entryways</t>
  </si>
  <si>
    <t xml:space="preserve">Rates starting at $1037</t>
  </si>
  <si>
    <t xml:space="preserve">Weekly housekeeping services</t>
  </si>
  <si>
    <t xml:space="preserve">Emergency alert pendant</t>
  </si>
  <si>
    <t xml:space="preserve">Paid utilities; Cable (satellite)</t>
  </si>
  <si>
    <t xml:space="preserve">Attached garage; Kitchenettes extra</t>
  </si>
  <si>
    <t xml:space="preserve">1976</t>
  </si>
  <si>
    <t xml:space="preserve">Cedarbrook of Northville</t>
  </si>
  <si>
    <t xml:space="preserve">Cedarbrook Senior Living</t>
  </si>
  <si>
    <t xml:space="preserve">Plymouth, MI</t>
  </si>
  <si>
    <t xml:space="preserve">Electricity, gas, water, and basic cable</t>
  </si>
  <si>
    <t xml:space="preserve">The Village of Redford</t>
  </si>
  <si>
    <t xml:space="preserve">Presbyterian Villages of Michigan</t>
  </si>
  <si>
    <t xml:space="preserve">Redford, MI</t>
  </si>
  <si>
    <t xml:space="preserve">81 villas (775 – 1987 sq ft)</t>
  </si>
  <si>
    <t xml:space="preserve">Offers income-qualified options in addition to below-listed market rate pricing. | $1440 - $2115</t>
  </si>
  <si>
    <t xml:space="preserve">Sewer, water included (gas, electric, cable, and phone not included)</t>
  </si>
  <si>
    <t xml:space="preserve">Attached garage; In-unit washer/dryer (stackable)</t>
  </si>
  <si>
    <t xml:space="preserve">1945</t>
  </si>
  <si>
    <t xml:space="preserve">American House Dearborn</t>
  </si>
  <si>
    <t xml:space="preserve">American House</t>
  </si>
  <si>
    <t xml:space="preserve">Dearborn Heights, MI</t>
  </si>
  <si>
    <t xml:space="preserve">52 villas (650 – 850 sq ft)</t>
  </si>
  <si>
    <t xml:space="preserve">In-unit washer/dryer</t>
  </si>
  <si>
    <t xml:space="preserve">The Gables of Westerville</t>
  </si>
  <si>
    <t xml:space="preserve">Gables Management, Inc.</t>
  </si>
  <si>
    <t xml:space="preserve">Westerville, OH</t>
  </si>
  <si>
    <t xml:space="preserve">8 villas (795 – 1061 sq ft)</t>
  </si>
  <si>
    <t xml:space="preserve">Danbury Ohio Properties Review (Westerville)</t>
  </si>
  <si>
    <t xml:space="preserve">Wesley Woods</t>
  </si>
  <si>
    <t xml:space="preserve">Life Enriching Communities</t>
  </si>
  <si>
    <t xml:space="preserve">New Albany, OH</t>
  </si>
  <si>
    <t xml:space="preserve">12 villas (1347 – 1617 sq ft)</t>
  </si>
  <si>
    <t xml:space="preserve">$4254 for a one-bedroom villa; Entry Fee $282,900 (90% refundable) | $4754 for a two-bedroom villa; Entry Fee $339,600 (90% refundable)</t>
  </si>
  <si>
    <t xml:space="preserve">Daily continental breakfast</t>
  </si>
  <si>
    <t xml:space="preserve">Emergency response system; 24-hour security</t>
  </si>
  <si>
    <t xml:space="preserve">Electric, gas, water, Wi-Fi, phone, and cable included</t>
  </si>
  <si>
    <t xml:space="preserve">Twin Lakes</t>
  </si>
  <si>
    <t xml:space="preserve">Cincinnati, OH</t>
  </si>
  <si>
    <t xml:space="preserve">143 villas (1495 – 1670 sq ft)</t>
  </si>
  <si>
    <t xml:space="preserve">$4749 - $5168 starting fees; Entry Fee $247,300 - $300,400 (30% refundable)</t>
  </si>
  <si>
    <t xml:space="preserve">“Flexible meal allowance”</t>
  </si>
  <si>
    <t xml:space="preserve">Light monthly housekeeping</t>
  </si>
  <si>
    <t xml:space="preserve">Yearly allowance for health/wellness services</t>
  </si>
  <si>
    <t xml:space="preserve">Water, sewer, electricity, heating and air conditioning, real estate/property taxes, phone, and basic cable included</t>
  </si>
  <si>
    <t xml:space="preserve">In-unit washer/dryer; Attached garage</t>
  </si>
  <si>
    <t xml:space="preserve">Twin Towers</t>
  </si>
  <si>
    <t xml:space="preserve">130 villas</t>
  </si>
  <si>
    <t xml:space="preserve">$2615 for a studio home; Entry Fee $63,160 (refundable) | $2944 for a one-bedroom home; Entry Fee $81,900 (refundable) | $3272 for a two-bedroom home; Entry Fee $100,480 (refundable)</t>
  </si>
  <si>
    <t xml:space="preserve">Water, sewer, electricity, heating, air conditioning, insurance, property taxes, phone, and cable</t>
  </si>
  <si>
    <t xml:space="preserve">Wesley Glen</t>
  </si>
  <si>
    <t xml:space="preserve">Columbus, OH</t>
  </si>
  <si>
    <t xml:space="preserve">14 villas (968 – 1180 sq ft)</t>
  </si>
  <si>
    <t xml:space="preserve">$5547 for a one-bedroom home; Entry Fee $60,000 (90% refundable) | $6013 for a two-bedroom home; Entry Fee $60,000 (90% refundable)</t>
  </si>
  <si>
    <t xml:space="preserve">Electric, gas, water, phone, Wi-Fi, and cable</t>
  </si>
  <si>
    <t xml:space="preserve">1971</t>
  </si>
  <si>
    <t xml:space="preserve">Wesley Ridge</t>
  </si>
  <si>
    <t xml:space="preserve">Reynoldsburg, OH</t>
  </si>
  <si>
    <t xml:space="preserve">16 villas (1245 – 1475 sq ft)</t>
  </si>
  <si>
    <t xml:space="preserve">$2734 for a one-bedroom home; Entry Fee $192,600 (75% refundable) | $2996 for a two-bedroom home; Entry Fee $224,700 (75% refundable)</t>
  </si>
  <si>
    <t xml:space="preserve">Electric, gas, water, trash, and recycling</t>
  </si>
  <si>
    <t xml:space="preserve">Opened 1998</t>
  </si>
  <si>
    <t xml:space="preserve">Willow Brook at Delaware Run</t>
  </si>
  <si>
    <t xml:space="preserve">Willow Brook Christian Communities</t>
  </si>
  <si>
    <t xml:space="preserve">Delaware, OH</t>
  </si>
  <si>
    <t xml:space="preserve">55 villas (918 – 2126 sq ft)</t>
  </si>
  <si>
    <t xml:space="preserve">“Credit for several meals in the Willow Brook restaurants”</t>
  </si>
  <si>
    <t xml:space="preserve">Phone and cable; Insurance</t>
  </si>
  <si>
    <t xml:space="preserve">Attached garage; Private patio/deck</t>
  </si>
  <si>
    <t xml:space="preserve">Willow Brook at Christian Village</t>
  </si>
  <si>
    <t xml:space="preserve">60 villas (876 – 1382 sq ft)</t>
  </si>
  <si>
    <t xml:space="preserve">“Credit of meals in the Willow Brook restaurants”</t>
  </si>
  <si>
    <t xml:space="preserve">Cable</t>
  </si>
  <si>
    <t xml:space="preserve">Attached garage; In-unit washer/dryer; Basement optional</t>
  </si>
  <si>
    <t xml:space="preserve">Feridean Commons</t>
  </si>
  <si>
    <t xml:space="preserve">Feridean Commons Senior Housing, Ltd.</t>
  </si>
  <si>
    <t xml:space="preserve">villas &amp; AL</t>
  </si>
  <si>
    <t xml:space="preserve">40 villas – 32 one-bedroom layouts, 8 two-bedroom layouts (691 – 1510 sq ft)</t>
  </si>
  <si>
    <t xml:space="preserve">30 monthly meals</t>
  </si>
  <si>
    <t xml:space="preserve">Weekly housekeeping and bed linen services</t>
  </si>
  <si>
    <t xml:space="preserve">Water, sewer, property taxes, cable, and internet/Wi-Fi</t>
  </si>
  <si>
    <t xml:space="preserve">Attached garages available; Covered “veranda”</t>
  </si>
  <si>
    <t xml:space="preserve">2001</t>
  </si>
  <si>
    <t xml:space="preserve">Worthington Christian Village</t>
  </si>
  <si>
    <t xml:space="preserve">Worthington Inc</t>
  </si>
  <si>
    <t xml:space="preserve">24 villas (1508 – 1798 sq ft); all two bed/two bath</t>
  </si>
  <si>
    <t xml:space="preserve">Monthly Maintenance fee: $861 (regardless of unit layout) | Entry Fee $197,793 - $221,086 (75% refundable after cottage has been remarketed)</t>
  </si>
  <si>
    <t xml:space="preserve">Property taxes and water fees; Cable</t>
  </si>
  <si>
    <t xml:space="preserve">Only the villas (“cottages”) require an Entry Fee; IL, AL &amp; SNF units only ask for a small processing fee or security deposit ($250 - $700)</t>
  </si>
  <si>
    <t xml:space="preserve">Opened 1985</t>
  </si>
  <si>
    <t xml:space="preserve">Friendship Village of Dublin</t>
  </si>
  <si>
    <t xml:space="preserve">Dublin, OH</t>
  </si>
  <si>
    <t xml:space="preserve">20 villas (1380 – 1886 sq ft); 2 Bed/2 Bath, some w/ den</t>
  </si>
  <si>
    <t xml:space="preserve">Starting rate: $5700; Entrance Fee: $412,134 - $700,630</t>
  </si>
  <si>
    <t xml:space="preserve">$540 in monthly meal credits</t>
  </si>
  <si>
    <t xml:space="preserve">Bi-weekly housekeeping; weekly linen services</t>
  </si>
  <si>
    <t xml:space="preserve">All utilities, including cable, phone, and Wi-Fi</t>
  </si>
  <si>
    <t xml:space="preserve">2012</t>
  </si>
  <si>
    <t xml:space="preserve">Avondale</t>
  </si>
  <si>
    <t xml:space="preserve">National Church Residences</t>
  </si>
  <si>
    <t xml:space="preserve">100 villas</t>
  </si>
  <si>
    <t xml:space="preserve">$1500 for a one-bedroom home | $1700 for a two-bedroom home</t>
  </si>
  <si>
    <t xml:space="preserve">First Community Village</t>
  </si>
  <si>
    <t xml:space="preserve">38 villas</t>
  </si>
  <si>
    <t xml:space="preserve">Opened 2012 (villas); campus opened 1961</t>
  </si>
  <si>
    <t xml:space="preserve">Cherry Blossom</t>
  </si>
  <si>
    <t xml:space="preserve">Continental Senior Communities</t>
  </si>
  <si>
    <t xml:space="preserve">28 villas (1062 sq ft)</t>
  </si>
  <si>
    <t xml:space="preserve">Emergency alert system (pendant)</t>
  </si>
  <si>
    <t xml:space="preserve">Traditions Grove City</t>
  </si>
  <si>
    <t xml:space="preserve">Traditions Senior Living</t>
  </si>
  <si>
    <t xml:space="preserve">Grove City, OH</t>
  </si>
  <si>
    <t xml:space="preserve">None confirmed; none referenced on property’s website | Only reference to villas is in articles regarding the property’s development and the mixed-use development website for Beulah Park itself | Identified as a Danbury property in NIC Maps, though it appears to have been bought out by Traditions</t>
  </si>
  <si>
    <t xml:space="preserve">2022?</t>
  </si>
  <si>
    <t xml:space="preserve">Scioto Community</t>
  </si>
  <si>
    <t xml:space="preserve">villas + ALF/SNF</t>
  </si>
  <si>
    <t xml:space="preserve">Attached one-car garage; Private sunroom &amp; patio; In-unit washer/dryer w/ laundry room</t>
  </si>
  <si>
    <t xml:space="preserve">Village of East Harbor</t>
  </si>
  <si>
    <t xml:space="preserve">Chesterfield, MI</t>
  </si>
  <si>
    <t xml:space="preserve">55 villa</t>
  </si>
  <si>
    <t xml:space="preserve">$1693 - $3315 for a ranch home (1100 – 1200 sq ft) | $846 for a cottage home (1600 – 1681 sq ft); Entry Fee $270,000 - $293,000 (refundable)</t>
  </si>
  <si>
    <t xml:space="preserve">Some include some utilities</t>
  </si>
  <si>
    <t xml:space="preserve">In-unit washer/dryer; Attached garages available</t>
  </si>
  <si>
    <t xml:space="preserve">Opened 1978</t>
  </si>
  <si>
    <t xml:space="preserve">American House East I</t>
  </si>
  <si>
    <t xml:space="preserve">American House Senior Living Communities</t>
  </si>
  <si>
    <t xml:space="preserve">Roseville, MI</t>
  </si>
  <si>
    <t xml:space="preserve">IL &amp; MC</t>
  </si>
  <si>
    <t xml:space="preserve">30 villas (880 – 1080 sq ft)</t>
  </si>
  <si>
    <t xml:space="preserve">In-unit washer/dryer w/ laundry room</t>
  </si>
  <si>
    <t xml:space="preserve">Provision Living at Fenton</t>
  </si>
  <si>
    <t xml:space="preserve">Fenton, MI</t>
  </si>
  <si>
    <t xml:space="preserve">villas &amp; AL/MC</t>
  </si>
  <si>
    <t xml:space="preserve">10 villas (all two bed/two bath)</t>
  </si>
  <si>
    <t xml:space="preserve">Silver Maples of Chelsea</t>
  </si>
  <si>
    <t xml:space="preserve">Silver Maples, Inc.</t>
  </si>
  <si>
    <t xml:space="preserve">Chelsea, MI</t>
  </si>
  <si>
    <t xml:space="preserve">33 villas, including 17 under construction to open in Oct 2023 (1505 – 2030 sq ft)</t>
  </si>
  <si>
    <t xml:space="preserve">$2995 - $3770 for a two bed/two bath home; Entry Fees $137K - $470K</t>
  </si>
  <si>
    <t xml:space="preserve">10 meals per month</t>
  </si>
  <si>
    <t xml:space="preserve">All utilities (except phone, cable &amp; Wi-Fi); Property taxes</t>
  </si>
  <si>
    <t xml:space="preserve">Attached garage; In-unit washer/dryer; Gas fireplace</t>
  </si>
  <si>
    <t xml:space="preserve">The Cedars of Dexter</t>
  </si>
  <si>
    <t xml:space="preserve">Brio Living</t>
  </si>
  <si>
    <t xml:space="preserve">Dexter, MI</t>
  </si>
  <si>
    <t xml:space="preserve">60 villas, half 2-bed, half 3-bed (1510 – 1912)</t>
  </si>
  <si>
    <t xml:space="preserve">Clubhouse (library, café, saltwater pool, fitness center, billiards, etc.)</t>
  </si>
  <si>
    <t xml:space="preserve">(via campus amenities) Clubhouse (library, café, saltwater pool, fitness center, billiards, etc.)</t>
  </si>
  <si>
    <t xml:space="preserve">Glacier Hills</t>
  </si>
  <si>
    <t xml:space="preserve">Trinity Health</t>
  </si>
  <si>
    <t xml:space="preserve">Ann Arbor, MI</t>
  </si>
  <si>
    <t xml:space="preserve">26 villas (1387 – 1713 sq ft)</t>
  </si>
  <si>
    <t xml:space="preserve">Taxes, water, and sewer</t>
  </si>
  <si>
    <t xml:space="preserve">Attached 2-car garage; In-unit washer/dryer w/ laundry room; Fireplace</t>
  </si>
  <si>
    <t xml:space="preserve">All Seasons Ann Arbor</t>
  </si>
  <si>
    <t xml:space="preserve">Beztak Properties</t>
  </si>
  <si>
    <t xml:space="preserve">44 villas (1272 – 1448 sq ft)</t>
  </si>
  <si>
    <t xml:space="preserve">Attached Garage; In-unit washer/dryer</t>
  </si>
  <si>
    <t xml:space="preserve">Brecon Village</t>
  </si>
  <si>
    <t xml:space="preserve">Evangelical Homes of Michigan</t>
  </si>
  <si>
    <t xml:space="preserve">Saline, MI</t>
  </si>
  <si>
    <t xml:space="preserve">40 villas</t>
  </si>
  <si>
    <t xml:space="preserve">Chapel Hill</t>
  </si>
  <si>
    <t xml:space="preserve">United Church Homes</t>
  </si>
  <si>
    <t xml:space="preserve">Canal Fulton, OH</t>
  </si>
  <si>
    <t xml:space="preserve">49 villas</t>
  </si>
  <si>
    <t xml:space="preserve">Gas, electric, and water (residents pay for cable, internet, and phone)</t>
  </si>
  <si>
    <t xml:space="preserve">Danbury Wooster</t>
  </si>
  <si>
    <t xml:space="preserve">Danbury Senior Living</t>
  </si>
  <si>
    <t xml:space="preserve">Wooster, OH</t>
  </si>
  <si>
    <t xml:space="preserve">Garden patio</t>
  </si>
  <si>
    <t xml:space="preserve">All utilities, including cable and Wi-Fi</t>
  </si>
  <si>
    <t xml:space="preserve">Attached garage; Garden patio</t>
  </si>
  <si>
    <t xml:space="preserve">Property’s website only makes a single reference to villas onsite; above-listed amenities pulled from a promotional blog on the Danbury home site</t>
  </si>
  <si>
    <t xml:space="preserve">Orvilla Manor</t>
  </si>
  <si>
    <t xml:space="preserve">Orvilla</t>
  </si>
  <si>
    <t xml:space="preserve">Orrville, OH</t>
  </si>
  <si>
    <t xml:space="preserve">Concordia at Sumner</t>
  </si>
  <si>
    <t xml:space="preserve">Concordia Lutheran Ministries</t>
  </si>
  <si>
    <t xml:space="preserve">22 villas (1753 – 1880 sq ft)</t>
  </si>
  <si>
    <t xml:space="preserve">$2728 - $4628 for a villa; Entry Fee $30K - $180K</t>
  </si>
  <si>
    <t xml:space="preserve">Jackson Ridge</t>
  </si>
  <si>
    <t xml:space="preserve">Jackson Ridge Rehabilitation and Care</t>
  </si>
  <si>
    <t xml:space="preserve">villa + ALF/SNF</t>
  </si>
  <si>
    <t xml:space="preserve">6 villas (424 – 523 sq ft)</t>
  </si>
  <si>
    <t xml:space="preserve">Hea, AC, water, and satellite TV included</t>
  </si>
  <si>
    <t xml:space="preserve">Westover Retirement Community</t>
  </si>
  <si>
    <t xml:space="preserve">Community First Solutions</t>
  </si>
  <si>
    <t xml:space="preserve">Hamilton, OH</t>
  </si>
  <si>
    <t xml:space="preserve">20 villas (1215 – 1630 sq ft)</t>
  </si>
  <si>
    <t xml:space="preserve">$1804 for a one-bedroom home; Entry Fee: 90K | $1877 - $1903 for a two-bedroom home; Entry Fee: $105K - $165K</t>
  </si>
  <si>
    <t xml:space="preserve">Cable; Property taxes &amp; water fees</t>
  </si>
  <si>
    <t xml:space="preserve">1964</t>
  </si>
  <si>
    <t xml:space="preserve">Berkeley Square</t>
  </si>
  <si>
    <t xml:space="preserve">20 villas (1220 – 2780 sq ft)</t>
  </si>
  <si>
    <t xml:space="preserve">$1804 for a one-bedroom home; Entry Fee: $90K - $150K | $1881 for a two-bedroom home; Entry Fee: $115K - $260K | $1999 for a three-bedroom home; Entry Fee: 190K - $310K</t>
  </si>
  <si>
    <t xml:space="preserve">2023 (villas); main campus opened: 1987</t>
  </si>
  <si>
    <t xml:space="preserve">Chesterwood Village</t>
  </si>
  <si>
    <t xml:space="preserve">Hillandale Communities</t>
  </si>
  <si>
    <t xml:space="preserve">West Chester, OH</t>
  </si>
  <si>
    <t xml:space="preserve">59 villas</t>
  </si>
  <si>
    <t xml:space="preserve">The Christian Village at Mason</t>
  </si>
  <si>
    <t xml:space="preserve">Mason, OH</t>
  </si>
  <si>
    <t xml:space="preserve">189 villas</t>
  </si>
  <si>
    <t xml:space="preserve">Interior/exterior apartments</t>
  </si>
  <si>
    <t xml:space="preserve">Maple Knoll Village</t>
  </si>
  <si>
    <t xml:space="preserve">Maple Knoll Communities</t>
  </si>
  <si>
    <t xml:space="preserve">154 villas (1108 – 4000 sq ft)</t>
  </si>
  <si>
    <t xml:space="preserve">All utilities; Telephone, cable, and internet</t>
  </si>
  <si>
    <t xml:space="preserve">Attached garage; Patio</t>
  </si>
  <si>
    <t xml:space="preserve">Triple Creek Retirement Community</t>
  </si>
  <si>
    <t xml:space="preserve">$2599 for a two bed/two bath villa</t>
  </si>
  <si>
    <t xml:space="preserve">Bi-monthly housekeeping (”Interior Cleaning Services”)</t>
  </si>
  <si>
    <t xml:space="preserve">Evergreen Retirement Community</t>
  </si>
  <si>
    <t xml:space="preserve">Senior Lifestyle</t>
  </si>
  <si>
    <t xml:space="preserve">“Housekeeping services”</t>
  </si>
  <si>
    <t xml:space="preserve">Madonna Manor</t>
  </si>
  <si>
    <t xml:space="preserve">CHI Living Communities</t>
  </si>
  <si>
    <t xml:space="preserve">Villa Hills, KY</t>
  </si>
  <si>
    <t xml:space="preserve">10 villas (2 bed/2 bath)</t>
  </si>
  <si>
    <t xml:space="preserve">Water, sewer, and trash removal</t>
  </si>
  <si>
    <t xml:space="preserve">Attached garage; Patio; In-unit washer/dryer w/ laundry room</t>
  </si>
  <si>
    <t xml:space="preserve">St. Charles Community</t>
  </si>
  <si>
    <t xml:space="preserve">St. Charles Care Center, Inc.</t>
  </si>
  <si>
    <t xml:space="preserve">Covington, KY</t>
  </si>
  <si>
    <t xml:space="preserve">62 villas</t>
  </si>
  <si>
    <t xml:space="preserve">Attached garage; Patio/porch; In-unit washer/dryer w/ laundry room</t>
  </si>
  <si>
    <t xml:space="preserve">2017 (villas); main campus opened 1961</t>
  </si>
  <si>
    <t xml:space="preserve">Baptist Village of Owasso</t>
  </si>
  <si>
    <t xml:space="preserve">Baptist Village Retirement Communities</t>
  </si>
  <si>
    <t xml:space="preserve">Owasso, OK</t>
  </si>
  <si>
    <t xml:space="preserve">115 villas (1178 – 1632 sq ft)</t>
  </si>
  <si>
    <t xml:space="preserve">Attached garage; In-unit washer/dyer; Patio</t>
  </si>
  <si>
    <t xml:space="preserve">Opened 1986</t>
  </si>
  <si>
    <t xml:space="preserve">Trinity Woods</t>
  </si>
  <si>
    <t xml:space="preserve">Oklahoma Methodist Manor</t>
  </si>
  <si>
    <t xml:space="preserve">Tulsa, OK</t>
  </si>
  <si>
    <t xml:space="preserve">85 villas (700 – 2600 sq ft)</t>
  </si>
  <si>
    <t xml:space="preserve">$5493 - $6368 for a Lakeside Home; Entry Fee $339,300 - $360,500 (one 2B/2BA and one 3B/2BA listed online) | $3030 - $5730 for a villa, Entry Fees starting at $192,600 (two 1B/BA; three 2B/1.5 BA; two 1B/2BA; sixteen 2B/2BA – AS LISTED ONLINE) | $3244 - $4721 for a patio home; Entry Fees starting at $192K (1-2B/2BA; all listed online are 2B/2BA)</t>
  </si>
  <si>
    <t xml:space="preserve">Bellarose</t>
  </si>
  <si>
    <t xml:space="preserve">Sagora Senior Living</t>
  </si>
  <si>
    <t xml:space="preserve">Broken Arrow, OK</t>
  </si>
  <si>
    <t xml:space="preserve">8 villas (1600 sq ft)</t>
  </si>
  <si>
    <t xml:space="preserve">Baptist Village of Broken Arrow</t>
  </si>
  <si>
    <t xml:space="preserve">Baptist Village Communities</t>
  </si>
  <si>
    <t xml:space="preserve">Attached garage; Patio/terrace; In-unit washer/dryer</t>
  </si>
  <si>
    <t xml:space="preserve">Country Club at Woodland Hills</t>
  </si>
  <si>
    <t xml:space="preserve">Discovery Senior Living</t>
  </si>
  <si>
    <t xml:space="preserve">50 villas (1128 – 1239 sq ft)</t>
  </si>
  <si>
    <t xml:space="preserve">$3465 – 3635 for a cottage home (2 bed/2 bath)</t>
  </si>
  <si>
    <t xml:space="preserve">Attached garage; Washer/dryer connections; Fireplace</t>
  </si>
  <si>
    <t xml:space="preserve">Montereau</t>
  </si>
  <si>
    <t xml:space="preserve">The William K Warren Foundation</t>
  </si>
  <si>
    <t xml:space="preserve">37 villas (1492 – 2138 sq ft)</t>
  </si>
  <si>
    <t xml:space="preserve">Entry Fees for villas start at $552K</t>
  </si>
  <si>
    <t xml:space="preserve">“Flexible dining account”</t>
  </si>
  <si>
    <t xml:space="preserve">Zarrow Pointe</t>
  </si>
  <si>
    <t xml:space="preserve">Tulsa Jewish</t>
  </si>
  <si>
    <t xml:space="preserve">38 villas (1600 – 2200 sq ft)</t>
  </si>
  <si>
    <t xml:space="preserve">$4905 - $6025 for a villa; Entrance Fee $60K</t>
  </si>
  <si>
    <t xml:space="preserve">Monthly meal allowance</t>
  </si>
  <si>
    <t xml:space="preserve">Gated entry</t>
  </si>
  <si>
    <t xml:space="preserve">Attached two-car garage; Covered porch; In-unit washer/dryer</t>
  </si>
  <si>
    <t xml:space="preserve">Covenant Living at Inverness</t>
  </si>
  <si>
    <t xml:space="preserve">Covenant Senior Living</t>
  </si>
  <si>
    <t xml:space="preserve">60 villas (1516 – 2308 sq ft)</t>
  </si>
  <si>
    <t xml:space="preserve">Optional safe room</t>
  </si>
  <si>
    <t xml:space="preserve">University Village</t>
  </si>
  <si>
    <t xml:space="preserve">University Village Retirement LLC</t>
  </si>
  <si>
    <t xml:space="preserve">Morada Broken Arrow</t>
  </si>
  <si>
    <t xml:space="preserve">Morada Senior Living</t>
  </si>
  <si>
    <t xml:space="preserve">10 villas (1252 – 1284 sq ft)</t>
  </si>
  <si>
    <t xml:space="preserve">$3795 starting rate for a cottage home</t>
  </si>
  <si>
    <t xml:space="preserve">Weekly housekeeping and light linen service</t>
  </si>
  <si>
    <t xml:space="preserve">Emergency response system (w/ pendant)</t>
  </si>
  <si>
    <t xml:space="preserve">Water, electric, and Wi-Fi included</t>
  </si>
  <si>
    <t xml:space="preserve">Touchmark at Coffee Creek</t>
  </si>
  <si>
    <t xml:space="preserve">Touchmark Living Centers, Inc.</t>
  </si>
  <si>
    <t xml:space="preserve">Edmond, OK</t>
  </si>
  <si>
    <t xml:space="preserve">31 villas (1280 – 1321 sq ft)</t>
  </si>
  <si>
    <t xml:space="preserve">Emergency maintenance</t>
  </si>
  <si>
    <t xml:space="preserve">Utilities; Expanded basic cable</t>
  </si>
  <si>
    <t xml:space="preserve">Attached two-car garages; Washer/dryer connections only; Gas fireplaces</t>
  </si>
  <si>
    <t xml:space="preserve">Bradford Village</t>
  </si>
  <si>
    <t xml:space="preserve">Villagio Senior Living</t>
  </si>
  <si>
    <t xml:space="preserve">79 villas</t>
  </si>
  <si>
    <t xml:space="preserve">Silver Elm Estates</t>
  </si>
  <si>
    <t xml:space="preserve">McCasland Companies</t>
  </si>
  <si>
    <t xml:space="preserve">18 villas (1300 sq ft)</t>
  </si>
  <si>
    <t xml:space="preserve">$3150 for a two-bed/two-bath cottage | $1300 Community Fee</t>
  </si>
  <si>
    <t xml:space="preserve">Utilities</t>
  </si>
  <si>
    <t xml:space="preserve">Lyndale Edmon Senior Living</t>
  </si>
  <si>
    <t xml:space="preserve">13 villas</t>
  </si>
  <si>
    <t xml:space="preserve">Three daily meals &amp; Sunday brunch</t>
  </si>
  <si>
    <t xml:space="preserve">Attached two-car garage; Washer/dryer hookups only; Private patio</t>
  </si>
  <si>
    <t xml:space="preserve">Epworth Villa</t>
  </si>
  <si>
    <t xml:space="preserve">Oklahoma Conference of United Methodist Churches</t>
  </si>
  <si>
    <t xml:space="preserve">Oklahoma City, OK</t>
  </si>
  <si>
    <t xml:space="preserve">52 villas (1400 – 2313 sq ft)</t>
  </si>
  <si>
    <t xml:space="preserve">“Flexible dining plans”</t>
  </si>
  <si>
    <t xml:space="preserve">Weekly flat linen service; Bi-weekly housekeeping</t>
  </si>
  <si>
    <t xml:space="preserve">Emergency call system; 24 hour security</t>
  </si>
  <si>
    <t xml:space="preserve">All utilities plus Wi-Fi &amp; cable</t>
  </si>
  <si>
    <t xml:space="preserve">Opened 2013 (villas); campus opened 1990</t>
  </si>
  <si>
    <t xml:space="preserve">Concordia Life Plan Community</t>
  </si>
  <si>
    <t xml:space="preserve">12 villas (1217 sq ft)</t>
  </si>
  <si>
    <t xml:space="preserve">$2850 monthly fee</t>
  </si>
  <si>
    <t xml:space="preserve">Two daily meals w/ monthly dining allowance</t>
  </si>
  <si>
    <t xml:space="preserve">Weekly housekeeping w/ linen service</t>
  </si>
  <si>
    <t xml:space="preserve">24 hour security</t>
  </si>
  <si>
    <t xml:space="preserve">Utilities including cable</t>
  </si>
  <si>
    <t xml:space="preserve">Attached garage; In-unit washer/dryer; Private patio</t>
  </si>
  <si>
    <t xml:space="preserve">Emerald Square</t>
  </si>
  <si>
    <t xml:space="preserve">Integral Senior Living</t>
  </si>
  <si>
    <t xml:space="preserve">AL w/ villas</t>
  </si>
  <si>
    <t xml:space="preserve">6 villas (709 sq ft)</t>
  </si>
  <si>
    <t xml:space="preserve">Utilities (including cable and Wi-Fi)</t>
  </si>
  <si>
    <t xml:space="preserve">Attached single-car garage; Private patio</t>
  </si>
  <si>
    <t xml:space="preserve">Homestead of Del City</t>
  </si>
  <si>
    <t xml:space="preserve">Homestead Healthcare Services</t>
  </si>
  <si>
    <t xml:space="preserve">AL/MC w/ villas</t>
  </si>
  <si>
    <t xml:space="preserve">6 villas (2 Bed/ 2 Bath; 1630 sq ft)</t>
  </si>
  <si>
    <t xml:space="preserve">Utilities, including taxes &amp; insurance</t>
  </si>
  <si>
    <t xml:space="preserve">Village on the Park Oklahoma City</t>
  </si>
  <si>
    <t xml:space="preserve">Retirement Center Management Inc</t>
  </si>
  <si>
    <t xml:space="preserve">28 villas (768 – 1057 sq ft)</t>
  </si>
  <si>
    <t xml:space="preserve">In-unit washer/dryers w/ laundry room; Attached garage &amp; car port</t>
  </si>
  <si>
    <t xml:space="preserve">Village Pointe Commons</t>
  </si>
  <si>
    <t xml:space="preserve">Capri Communities</t>
  </si>
  <si>
    <t xml:space="preserve">Grafton, WI</t>
  </si>
  <si>
    <t xml:space="preserve">16 villas (1520 – 1632 sq ft)</t>
  </si>
  <si>
    <t xml:space="preserve">Electricity &amp; water included; Cable &amp; Wi-Fi</t>
  </si>
  <si>
    <t xml:space="preserve">In-unit washer/dryers; Attached garage</t>
  </si>
  <si>
    <t xml:space="preserve">The Gables of Germantown</t>
  </si>
  <si>
    <t xml:space="preserve">Germantown, WI</t>
  </si>
  <si>
    <t xml:space="preserve">22 villas (1500 sq ft)</t>
  </si>
  <si>
    <t xml:space="preserve">Water fees included; Cable</t>
  </si>
  <si>
    <t xml:space="preserve">Attached garage; Private patio; In-unit washer/dryer</t>
  </si>
  <si>
    <t xml:space="preserve">Grace Commons</t>
  </si>
  <si>
    <t xml:space="preserve">Menomonee Falls, WI</t>
  </si>
  <si>
    <t xml:space="preserve">$100 dining allowance per month</t>
  </si>
  <si>
    <t xml:space="preserve">2020</t>
  </si>
  <si>
    <t xml:space="preserve">Wilson Commons</t>
  </si>
  <si>
    <t xml:space="preserve">Milwaukee, WI</t>
  </si>
  <si>
    <t xml:space="preserve">17 villas</t>
  </si>
  <si>
    <t xml:space="preserve">Water, sewer, and trash included</t>
  </si>
  <si>
    <t xml:space="preserve">The Woods</t>
  </si>
  <si>
    <t xml:space="preserve">Greatlife Communities</t>
  </si>
  <si>
    <t xml:space="preserve">Greenfield, WI</t>
  </si>
  <si>
    <t xml:space="preserve">ranch-style IL &amp; AL apartments</t>
  </si>
  <si>
    <t xml:space="preserve">72 villas (58 one-bedroom, 800-886 sq ft; 14 two-bedroom, 1142-1184 sq ft)</t>
  </si>
  <si>
    <t xml:space="preserve">24/7 security</t>
  </si>
  <si>
    <t xml:space="preserve">Heated underground parking; In-unit washer/dryer</t>
  </si>
  <si>
    <t xml:space="preserve">May, 2023</t>
  </si>
  <si>
    <t xml:space="preserve">Skaalen Stoughton Campus</t>
  </si>
  <si>
    <t xml:space="preserve">Skaalen Retirement Services</t>
  </si>
  <si>
    <t xml:space="preserve">Stoughton, WI</t>
  </si>
  <si>
    <t xml:space="preserve">164 villas (1200 – 1350 sq ft)</t>
  </si>
  <si>
    <t xml:space="preserve">All Saints Neighborhood</t>
  </si>
  <si>
    <t xml:space="preserve">ElderSpan Management, LLC</t>
  </si>
  <si>
    <t xml:space="preserve">Madison, WI</t>
  </si>
  <si>
    <t xml:space="preserve">Covenant Village of Northbrook</t>
  </si>
  <si>
    <t xml:space="preserve">Covenant Retirement Communities</t>
  </si>
  <si>
    <t xml:space="preserve">Northbrook, IL</t>
  </si>
  <si>
    <t xml:space="preserve">48 villas (975 – 2275 sq ft)</t>
  </si>
  <si>
    <t xml:space="preserve">1974 (villas); campus opened 1964</t>
  </si>
  <si>
    <t xml:space="preserve">The Oaks at Bartlett</t>
  </si>
  <si>
    <t xml:space="preserve">Evergreen Senior Management (“ER Senior Management, LLC”)</t>
  </si>
  <si>
    <t xml:space="preserve">Bartlett, IL</t>
  </si>
  <si>
    <t xml:space="preserve">10 villas (1465 – 1660 sq ft)</t>
  </si>
  <si>
    <t xml:space="preserve">Monthly fees starting at $3650 | Entry Fee: $425K (90% refundable)</t>
  </si>
  <si>
    <t xml:space="preserve">Attached one-car garage; In-unit washer/dryer w/ laundry room</t>
  </si>
  <si>
    <t xml:space="preserve">Covenant Living at Windsor Park</t>
  </si>
  <si>
    <t xml:space="preserve">Carol Stream, IL</t>
  </si>
  <si>
    <t xml:space="preserve">62 villas (1500 – 1925 sq ft)</t>
  </si>
  <si>
    <t xml:space="preserve">Attached garage; Basement; Laundry room</t>
  </si>
  <si>
    <t xml:space="preserve">Bridgeway of Bensenville</t>
  </si>
  <si>
    <t xml:space="preserve">Sheridan Health Care/Bridgeway Senior Living LLC</t>
  </si>
  <si>
    <t xml:space="preserve">Bensenville, IL</t>
  </si>
  <si>
    <t xml:space="preserve">13 villas (6 one-bedroom, 6 two-bedroom and “one full house”)</t>
  </si>
  <si>
    <t xml:space="preserve">“Light Housekeeping services”; “Laundry services”</t>
  </si>
  <si>
    <t xml:space="preserve">1960</t>
  </si>
  <si>
    <t xml:space="preserve">Provision Living at Forest Hills</t>
  </si>
  <si>
    <t xml:space="preserve">$3500 - $3950 for each two-bedroom unit | $10K deposit</t>
  </si>
  <si>
    <t xml:space="preserve">Anthology of Mayfield Heights</t>
  </si>
  <si>
    <t xml:space="preserve">$6900 for a two bedroom unit</t>
  </si>
  <si>
    <t xml:space="preserve">Westminster Place</t>
  </si>
  <si>
    <t xml:space="preserve">Evanston, IL</t>
  </si>
  <si>
    <t xml:space="preserve">103 villas (710 – 2200 sq ft; 2 Bed/1 Bath &amp; 2 Bed/2 Bath)</t>
  </si>
  <si>
    <t xml:space="preserve">Entrance Fee starting at $126,200</t>
  </si>
  <si>
    <t xml:space="preserve">In-unit washer/dryer; Private patio; Attached garage</t>
  </si>
  <si>
    <t xml:space="preserve">1904</t>
  </si>
  <si>
    <t xml:space="preserve">Danbury Millersburg</t>
  </si>
  <si>
    <t xml:space="preserve">Danbury Senior Living/Common Sail</t>
  </si>
  <si>
    <t xml:space="preserve">Millersburg, OH</t>
  </si>
  <si>
    <t xml:space="preserve">Walnut Hills Retirement Community</t>
  </si>
  <si>
    <t xml:space="preserve">Walnut Creek, OH</t>
  </si>
  <si>
    <t xml:space="preserve">34 villas (870 – 1515 sq ft)</t>
  </si>
  <si>
    <t xml:space="preserve">Real estate taxes</t>
  </si>
  <si>
    <t xml:space="preserve">Attached garage; In-unit washer/dryer; Porch/deck</t>
  </si>
  <si>
    <t xml:space="preserve">West View Healthy Living</t>
  </si>
  <si>
    <t xml:space="preserve">Church of the Brethren Home West</t>
  </si>
  <si>
    <t xml:space="preserve">Trash removal, water, sewer, property taxes, and building insurance</t>
  </si>
  <si>
    <t xml:space="preserve">Attached garage; Patios and/or sunrooms</t>
  </si>
  <si>
    <t xml:space="preserve">Opened 1956</t>
  </si>
  <si>
    <t xml:space="preserve">Porter Hills Village</t>
  </si>
  <si>
    <t xml:space="preserve">Brio</t>
  </si>
  <si>
    <t xml:space="preserve">22 villas (1390 – 1655 sq ft)</t>
  </si>
  <si>
    <t xml:space="preserve">Two levels; Attached two-stall garages; Gas fireplaces; Rear patios/decks; Laundry Rooms</t>
  </si>
  <si>
    <t xml:space="preserve">1970</t>
  </si>
  <si>
    <t xml:space="preserve">Hamlet at Chagrin Falls</t>
  </si>
  <si>
    <t xml:space="preserve">Greenbriar Senior Living</t>
  </si>
  <si>
    <t xml:space="preserve">Chagrin Falls, OH</t>
  </si>
  <si>
    <t xml:space="preserve">9 villas</t>
  </si>
  <si>
    <t xml:space="preserve">South Franklin Circle</t>
  </si>
  <si>
    <t xml:space="preserve">Judson Smart Living</t>
  </si>
  <si>
    <t xml:space="preserve">56 villas</t>
  </si>
  <si>
    <t xml:space="preserve">24-hour security; Emergency response system</t>
  </si>
  <si>
    <t xml:space="preserve">Some w/ attached garages; Some two-story</t>
  </si>
  <si>
    <t xml:space="preserve">Jennings Garfield Heights</t>
  </si>
  <si>
    <t xml:space="preserve">Jennings Group</t>
  </si>
  <si>
    <t xml:space="preserve">Garfield Heights, OH</t>
  </si>
  <si>
    <t xml:space="preserve">Private patio &amp; garden area</t>
  </si>
  <si>
    <t xml:space="preserve">Gas, electric, water, cable, and real estate taxes included</t>
  </si>
  <si>
    <t xml:space="preserve">Attached one-car garage; Gas fireplace; Private patio &amp; garden area</t>
  </si>
  <si>
    <t xml:space="preserve">1996 (villas); campus opened 1942</t>
  </si>
  <si>
    <t xml:space="preserve">Vitalia at Rockside</t>
  </si>
  <si>
    <t xml:space="preserve">Seven Hills, OH</t>
  </si>
  <si>
    <t xml:space="preserve">18 villas (1191 – 1383 sq ft)</t>
  </si>
  <si>
    <t xml:space="preserve">Attached garage (1.5 &amp; 2-car); In-unit washer/dryer</t>
  </si>
  <si>
    <t xml:space="preserve">The Renaissance</t>
  </si>
  <si>
    <t xml:space="preserve">Eliza Jennings</t>
  </si>
  <si>
    <t xml:space="preserve">Olmsted Township, OH</t>
  </si>
  <si>
    <t xml:space="preserve">79 villas (1423 – 1785 sq ft)</t>
  </si>
  <si>
    <t xml:space="preserve">“Choice of meal plan”</t>
  </si>
  <si>
    <t xml:space="preserve">“Routine housekeeping”</t>
  </si>
  <si>
    <t xml:space="preserve">Clinic and physician services</t>
  </si>
  <si>
    <t xml:space="preserve">24-hour security</t>
  </si>
  <si>
    <t xml:space="preserve">All utilities (except telephone); Cable</t>
  </si>
  <si>
    <t xml:space="preserve">North Ridgeville Danbury</t>
  </si>
  <si>
    <t xml:space="preserve">North Ridgeville, OH</t>
  </si>
  <si>
    <t xml:space="preserve">Vitalia North Olmsted</t>
  </si>
  <si>
    <t xml:space="preserve">North Olmsted, OH</t>
  </si>
  <si>
    <t xml:space="preserve">The Village</t>
  </si>
  <si>
    <t xml:space="preserve">WesleyLife</t>
  </si>
  <si>
    <t xml:space="preserve">Indianola, IA</t>
  </si>
  <si>
    <t xml:space="preserve">46 villas (1080 – 4000+ sq ft)</t>
  </si>
  <si>
    <t xml:space="preserve">Entry Fees for Town Homes start at $169,900 w/ a 50% refund | IL apartment EF: $89,900 | AL units: $4508 monthly</t>
  </si>
  <si>
    <t xml:space="preserve">Garden; chapel; woodworking shop; therapy; multiple dining venues</t>
  </si>
  <si>
    <t xml:space="preserve">(via campus amenities) Garden; chapel; woodworking shop; therapy; multiple dining venues</t>
  </si>
  <si>
    <t xml:space="preserve">Attached garage; In-unit washer/dryer; Porch/patio</t>
  </si>
  <si>
    <t xml:space="preserve">1991</t>
  </si>
  <si>
    <t xml:space="preserve">Calvin Community</t>
  </si>
  <si>
    <t xml:space="preserve">Utilities included (gas, water, and electric)</t>
  </si>
  <si>
    <t xml:space="preserve">Attached double garage; In-unit washer/dryer</t>
  </si>
  <si>
    <t xml:space="preserve">2021 (villas &amp; new apts); community opened 1966</t>
  </si>
  <si>
    <t xml:space="preserve">Edgewater</t>
  </si>
  <si>
    <t xml:space="preserve">West Des Moines, IA</t>
  </si>
  <si>
    <t xml:space="preserve">13 villas (1702 – 1854 sq ft; 2 &amp; 3 bedroom layouts)</t>
  </si>
  <si>
    <t xml:space="preserve">Garden, fitness studio, onsite store</t>
  </si>
  <si>
    <t xml:space="preserve">Concierge Services</t>
  </si>
  <si>
    <t xml:space="preserve">Attached garage; Fireplace; In-unit washer/dryer; Porch/patio</t>
  </si>
  <si>
    <t xml:space="preserve">Spurgeon Manor</t>
  </si>
  <si>
    <t xml:space="preserve">Dallas Center, IA</t>
  </si>
  <si>
    <t xml:space="preserve">Chapel; fitness room</t>
  </si>
  <si>
    <t xml:space="preserve">Therapy available; Chapel; fitness room</t>
  </si>
  <si>
    <t xml:space="preserve">1985 (villas); campus opened 1971</t>
  </si>
  <si>
    <t xml:space="preserve">Carrick Glen</t>
  </si>
  <si>
    <t xml:space="preserve">GoodWorks Unlimited, LLC</t>
  </si>
  <si>
    <t xml:space="preserve">Mount Juliet, TN</t>
  </si>
  <si>
    <t xml:space="preserve">AL/MC facility w/ villas</t>
  </si>
  <si>
    <t xml:space="preserve">In-unit washer/dryer; Porch; Some include attached garage</t>
  </si>
  <si>
    <t xml:space="preserve">McKendree Village</t>
  </si>
  <si>
    <t xml:space="preserve">Trousdale Living Communities</t>
  </si>
  <si>
    <t xml:space="preserve">Hermitage, TN</t>
  </si>
  <si>
    <t xml:space="preserve">29 villas</t>
  </si>
  <si>
    <t xml:space="preserve">Access to therapy services; Care services available</t>
  </si>
  <si>
    <t xml:space="preserve">Care services available</t>
  </si>
  <si>
    <t xml:space="preserve">Attached garages available</t>
  </si>
  <si>
    <t xml:space="preserve">1963</t>
  </si>
  <si>
    <t xml:space="preserve">Fountains of Franklin</t>
  </si>
  <si>
    <t xml:space="preserve">Franklin, TN</t>
  </si>
  <si>
    <t xml:space="preserve">In-unit washer/dryer w/ laundry room; Gas fireplace; Screened-in porch; Attached two-car garage</t>
  </si>
  <si>
    <t xml:space="preserve">Robinwood</t>
  </si>
  <si>
    <t xml:space="preserve">Resort Lifestyle Communities</t>
  </si>
  <si>
    <t xml:space="preserve">Bartlett, TN</t>
  </si>
  <si>
    <t xml:space="preserve">villas &amp; IL apartments</t>
  </si>
  <si>
    <t xml:space="preserve">14 villas (1221 sq ft; all 2 Bed/2 Bath)</t>
  </si>
  <si>
    <t xml:space="preserve">Gift Shop; billiards</t>
  </si>
  <si>
    <t xml:space="preserve">Homecare available</t>
  </si>
  <si>
    <t xml:space="preserve">Utilities, including Cable &amp; Wi-Fi</t>
  </si>
  <si>
    <t xml:space="preserve">24/7 Concierge; live-in managers; Homecare available</t>
  </si>
  <si>
    <t xml:space="preserve">Trezevant</t>
  </si>
  <si>
    <t xml:space="preserve">Trezevant Foundation</t>
  </si>
  <si>
    <t xml:space="preserve">Memphis, TN</t>
  </si>
  <si>
    <t xml:space="preserve">36 villas (1850 – 2100 sq ft)</t>
  </si>
  <si>
    <t xml:space="preserve">Gardens; fitness gym; chapel; billiards</t>
  </si>
  <si>
    <t xml:space="preserve">Multiple dining venues</t>
  </si>
  <si>
    <t xml:space="preserve">Wellness Services available; Gardens; fitness gym; chapel; billiards</t>
  </si>
  <si>
    <t xml:space="preserve">Gated campus; Emergency call system; 24 hr security</t>
  </si>
  <si>
    <t xml:space="preserve">Attached garage; Optional second floor</t>
  </si>
  <si>
    <t xml:space="preserve">Opus East Memphis</t>
  </si>
  <si>
    <t xml:space="preserve">Arbor Company</t>
  </si>
  <si>
    <t xml:space="preserve">60 villas (1310 – 1765 sq ft; all 2 Bed/2 Bath)</t>
  </si>
  <si>
    <t xml:space="preserve">Fitness center &amp; pool; Billiards; theater</t>
  </si>
  <si>
    <t xml:space="preserve">Daily breakfast including Sunday brunch + 20 meals each month</t>
  </si>
  <si>
    <t xml:space="preserve">Housekeeping services available (included?)</t>
  </si>
  <si>
    <t xml:space="preserve">(via campus amenities) Fitness center &amp; pool; Access to wellness services/center; rehab services</t>
  </si>
  <si>
    <t xml:space="preserve">Attached one- &amp; 2-car garages; In-unit washer/dryer w/ laundry room</t>
  </si>
  <si>
    <t xml:space="preserve">Kirby Pines</t>
  </si>
  <si>
    <t xml:space="preserve">Retirement Companies of America</t>
  </si>
  <si>
    <t xml:space="preserve">44 villas</t>
  </si>
  <si>
    <t xml:space="preserve">Billiards; chapel; woodworking shop; computer center</t>
  </si>
  <si>
    <t xml:space="preserve">Rehab available; Fitness/Wellness center; onsite clinic</t>
  </si>
  <si>
    <t xml:space="preserve">Gated campus; 24 hr security</t>
  </si>
  <si>
    <t xml:space="preserve">In-unit washer/dryer w/ laundry room; Attached garage; Gas fireplace; Private patio</t>
  </si>
  <si>
    <t xml:space="preserve">1995 (villas); campus opened 1983</t>
  </si>
  <si>
    <t xml:space="preserve">The Village at Germantown</t>
  </si>
  <si>
    <t xml:space="preserve">Germantown, TN</t>
  </si>
  <si>
    <t xml:space="preserve">59 villas (1633 sq ft)</t>
  </si>
  <si>
    <t xml:space="preserve">Multiple dining venues; 20 monthly meals</t>
  </si>
  <si>
    <t xml:space="preserve">Bi-weekly housekeeping w/ linen services</t>
  </si>
  <si>
    <t xml:space="preserve">Onsite Health Center; 10 free (non-consecutive) days per year; Fitness center</t>
  </si>
  <si>
    <t xml:space="preserve">24 hr EMT/Security; Emergency call system</t>
  </si>
  <si>
    <t xml:space="preserve">Utilities (water, sewer, heat/air conditioning, electricity); cable &amp; phone extra</t>
  </si>
  <si>
    <t xml:space="preserve">Attached one-car garage; In-unit washer/dryer; Private patio</t>
  </si>
  <si>
    <t xml:space="preserve">The Farms at Bailey Station</t>
  </si>
  <si>
    <t xml:space="preserve">Collierville, TN</t>
  </si>
  <si>
    <t xml:space="preserve">63 villas (2500 – 4000 sq ft)</t>
  </si>
  <si>
    <t xml:space="preserve">Chapel</t>
  </si>
  <si>
    <t xml:space="preserve">Health clinic; Fitness center</t>
  </si>
  <si>
    <t xml:space="preserve">Garage parking; Many w/ elevator-accessible second stories; 3 and 4 Bedroom options, w/ 3+ bathrooms</t>
  </si>
  <si>
    <t xml:space="preserve">Harrison Springs</t>
  </si>
  <si>
    <t xml:space="preserve">Corydon, IN</t>
  </si>
  <si>
    <t xml:space="preserve">Majority SNF w/ AL/MC &amp; villas</t>
  </si>
  <si>
    <t xml:space="preserve">Villas starting at $2749</t>
  </si>
  <si>
    <t xml:space="preserve">Bi-Weekly housekeeping; Laundry service available</t>
  </si>
  <si>
    <t xml:space="preserve">Fitness center; Rehab facilities</t>
  </si>
  <si>
    <t xml:space="preserve">Wesley Manor</t>
  </si>
  <si>
    <t xml:space="preserve">Methodist Retirement Community</t>
  </si>
  <si>
    <t xml:space="preserve">Louisville, KY</t>
  </si>
  <si>
    <t xml:space="preserve">60 villas (1325 – 1568 sq ft); 1 BR/1 Bath + Den &amp; 2 BR/2 Bath</t>
  </si>
  <si>
    <t xml:space="preserve">$515 for a 1BR/1Bath villa; Entrance Fee: $179K (70% refundable) | $547 - $578 for a 2BR/2Bath villa; Entrance Fee: $189K - $204K; (70% refundable)</t>
  </si>
  <si>
    <t xml:space="preserve">Community garden</t>
  </si>
  <si>
    <t xml:space="preserve">Meal options</t>
  </si>
  <si>
    <t xml:space="preserve">Rehab facilities</t>
  </si>
  <si>
    <t xml:space="preserve">24/7 Emergency response system</t>
  </si>
  <si>
    <t xml:space="preserve">Property taxes &amp; insurance (excluding renter’s insurance); Water, sewer, garbage, and recycling services</t>
  </si>
  <si>
    <t xml:space="preserve">Traditions at Beaumont</t>
  </si>
  <si>
    <t xml:space="preserve">32 villas (1567 sq ft; all 2BR/1.5Bath)</t>
  </si>
  <si>
    <t xml:space="preserve">Meal plans available</t>
  </si>
  <si>
    <t xml:space="preserve">Fitness Center</t>
  </si>
  <si>
    <t xml:space="preserve">Forest Springs</t>
  </si>
  <si>
    <t xml:space="preserve">Villas starting at $2409</t>
  </si>
  <si>
    <t xml:space="preserve">The Forum at Brookside</t>
  </si>
  <si>
    <t xml:space="preserve">108 villas (939 – 1117 sq ft); 2Bed/1 Bath, 2Bed/1.5 Bath, and 2Bed/1.5 Bath w/ Den options</t>
  </si>
  <si>
    <t xml:space="preserve">Bi-weekly housekeeping w/ flat linen service</t>
  </si>
  <si>
    <t xml:space="preserve">Physical therapy available</t>
  </si>
  <si>
    <t xml:space="preserve">Gated community</t>
  </si>
  <si>
    <t xml:space="preserve">Attached garage available; Private patio/sunroom</t>
  </si>
  <si>
    <t xml:space="preserve">1983</t>
  </si>
  <si>
    <t xml:space="preserve">The Willows at Springhurst</t>
  </si>
  <si>
    <t xml:space="preserve">majority SNF w/ AL/MC &amp; villas</t>
  </si>
  <si>
    <t xml:space="preserve">58 villas</t>
  </si>
  <si>
    <t xml:space="preserve">Meal options available</t>
  </si>
  <si>
    <t xml:space="preserve">Bi-monthly housekeeping; Laundry services available</t>
  </si>
  <si>
    <t xml:space="preserve">Rehab services available</t>
  </si>
  <si>
    <t xml:space="preserve">1979</t>
  </si>
  <si>
    <t xml:space="preserve">Episcopal Church Home</t>
  </si>
  <si>
    <t xml:space="preserve">Episcopal Diocese of Kentucky</t>
  </si>
  <si>
    <t xml:space="preserve">63 villas (1100 – 2400 sq ft)</t>
  </si>
  <si>
    <t xml:space="preserve">$1200 starting monthly rate w/ Entrance Fee of $224,000</t>
  </si>
  <si>
    <t xml:space="preserve">Meal programs available</t>
  </si>
  <si>
    <t xml:space="preserve">Attached garage; Private patio/porch</t>
  </si>
  <si>
    <t xml:space="preserve">Spring Hill Village</t>
  </si>
  <si>
    <t xml:space="preserve">Masonic Communities Kentucky</t>
  </si>
  <si>
    <t xml:space="preserve">92 villas</t>
  </si>
  <si>
    <t xml:space="preserve">Fitness center</t>
  </si>
  <si>
    <t xml:space="preserve">Water and sanitation services</t>
  </si>
  <si>
    <t xml:space="preserve">In-unit washer/dryer w/ laundry room; Attached garages</t>
  </si>
  <si>
    <t xml:space="preserve">1927</t>
  </si>
  <si>
    <t xml:space="preserve">The Villages at Historic Silvercrest</t>
  </si>
  <si>
    <t xml:space="preserve">New Albany, IN</t>
  </si>
  <si>
    <t xml:space="preserve">SNF majority w/ AL/MC &amp; villas</t>
  </si>
  <si>
    <t xml:space="preserve">$2019 for a 2 Bed/2 Bath villa</t>
  </si>
  <si>
    <t xml:space="preserve">Bi-weekly housekeeping; Laundry services available</t>
  </si>
  <si>
    <t xml:space="preserve">Rehab therapy available</t>
  </si>
  <si>
    <t xml:space="preserve">Attached garage; In-unit washer/dryer; Private Patio</t>
  </si>
  <si>
    <t xml:space="preserve">Opened 2014</t>
  </si>
  <si>
    <t xml:space="preserve">Azalea Hills</t>
  </si>
  <si>
    <t xml:space="preserve">Magnolia Health Systems</t>
  </si>
  <si>
    <t xml:space="preserve">Floyds Knobs, IN</t>
  </si>
  <si>
    <t xml:space="preserve">Rivercrest</t>
  </si>
  <si>
    <t xml:space="preserve">Club house</t>
  </si>
  <si>
    <t xml:space="preserve">Rehab therapy available; Fitness center</t>
  </si>
  <si>
    <t xml:space="preserve">Traditions at Hunter Station</t>
  </si>
  <si>
    <t xml:space="preserve">Sellersburg, IN</t>
  </si>
  <si>
    <t xml:space="preserve">Attached garages available; In-unit washer/dryer available</t>
  </si>
  <si>
    <t xml:space="preserve">Hearthstone Communities</t>
  </si>
  <si>
    <t xml:space="preserve">Woodstock, IL</t>
  </si>
  <si>
    <t xml:space="preserve">$3037 - $4229 for a villa home | Rental Only option Community Fee: $5200 | Entry Fee: $135,710 - $222,872 (EF monthly fee: $915 - $941)</t>
  </si>
  <si>
    <t xml:space="preserve">Sewer, water &amp; taxes</t>
  </si>
  <si>
    <t xml:space="preserve">Attached garage; In-unit Washer/Dryer</t>
  </si>
  <si>
    <t xml:space="preserve">Legacy Living Florence</t>
  </si>
  <si>
    <t xml:space="preserve">Family-owned</t>
  </si>
  <si>
    <t xml:space="preserve">Florence, KY</t>
  </si>
  <si>
    <t xml:space="preserve">28 villas (1239 – 2186 sq ft)</t>
  </si>
  <si>
    <t xml:space="preserve">$3879 for a one-bedroom villa | $4280 for a two-bedroom villa</t>
  </si>
  <si>
    <t xml:space="preserve">1 daily meal</t>
  </si>
  <si>
    <t xml:space="preserve">$25/hr for housekeeping</t>
  </si>
  <si>
    <t xml:space="preserve">Utilities; Cable</t>
  </si>
  <si>
    <t xml:space="preserve">Ken Witzgall</t>
  </si>
  <si>
    <t xml:space="preserve">PDF: Senior Living Cottages &amp; Independent Villas: The Rental Model (Curated, AI location-intelligence report)</t>
  </si>
  <si>
    <t xml:space="preserve">Generated Sept 15, 2026</t>
  </si>
  <si>
    <t xml:space="preserve">Rental Cottage / Villa Model — typical INCLUDED package (industry profile)</t>
  </si>
  <si>
    <t xml:space="preserve">n/a (multi-operator synthesis)</t>
  </si>
  <si>
    <t xml:space="preserve">U.S. (national profile)</t>
  </si>
  <si>
    <t xml:space="preserve">Standalone IL cottages/villas, pure rental (month-to-month or annual lease); 55+ active adult</t>
  </si>
  <si>
    <t xml:space="preserve">n/a</t>
  </si>
  <si>
    <t xml:space="preserve">Monthly rental fee $2,500 – $6,500+ (900 – 1,800+ sq ft; includes base maintenance, landscaping, basic cable/Wi-Fi, standard utilities) | One-time community/move-in fee $1,000 – $5,000 (non-refundable) | Second-person fee $500 – $1,000/mo | Rental cottages command a 15% – 30% premium over IL apartments ($2,200 – $4,500/mo)</t>
  </si>
  <si>
    <t xml:space="preserve">No (rental model; contrasts with $300,000+ CCRC entrance fees)</t>
  </si>
  <si>
    <t xml:space="preserve">Scheduled group shuttles for shopping and banking; medical transportation within a 10-mile radius</t>
  </si>
  <si>
    <t xml:space="preserve">On-campus classes and scheduled local academic lectures; full fitness center and indoor/outdoor pool access; social clubs and community-wide events</t>
  </si>
  <si>
    <t xml:space="preserve">Standard continental breakfast OR 1 chef-prepared meal per day (or a declining-balance dining card of $300/month)</t>
  </si>
  <si>
    <t xml:space="preserve">Bi-weekly light interior housekeeping</t>
  </si>
  <si>
    <t xml:space="preserve">Monthly wellness check-up (blood pressure, weight monitoring)</t>
  </si>
  <si>
    <t xml:space="preserve">24/7 wireless emergency responder system (pendant / pull cords)</t>
  </si>
  <si>
    <t xml:space="preserve">Full exterior maintenance (lawn care, snow removal); routine interior appliance and utility maintenance</t>
  </si>
  <si>
    <t xml:space="preserve">Standard utilities, basic cable/Wi-Fi, base maintenance and landscaping bundled into monthly rental fee</t>
  </si>
  <si>
    <t xml:space="preserve">See companion row for ancillary / à la carte fee menu</t>
  </si>
  <si>
    <t xml:space="preserve">Private residential footprints: porches, garages, yards; full kitchens; minimal shared walls</t>
  </si>
  <si>
    <t xml:space="preserve">AI-generated report (Curated platform) citing web sources; treat ranges as indicative market norms, not a specific operator. Strategic notes: decentralized cottages raise staff travel time for housekeeping/maintenance/emergency response; rental model shortens decision cycle and speeds lease-up.</t>
  </si>
  <si>
    <t xml:space="preserve">Rental Cottage / Villa Model — typical ANCILLARY / EXTRA-FEE menu (industry profile)</t>
  </si>
  <si>
    <t xml:space="preserve">Standalone IL cottages/villas, pure rental</t>
  </si>
  <si>
    <t xml:space="preserve">Pet deposit $250 – $500 plus $25 – $50/mo | Private care &amp; support $300 – $600/mo</t>
  </si>
  <si>
    <t xml:space="preserve">No (rental model)</t>
  </si>
  <si>
    <t xml:space="preserve">Medical transport beyond 10 miles ($2.50 – $4.00/mile or flat $25 – $50/trip); private on-demand car service ($30 – $60/hr); after-hours airport runs ($75 – $150/trip)</t>
  </si>
  <si>
    <t xml:space="preserve">Off-campus excursion tickets at cost ($20 – $100+); craft/art workshop materials ($10 – $30/class); personal training ($60 – $90/hr)</t>
  </si>
  <si>
    <t xml:space="preserve">Upgrade to full 3-meal plan ($600 – $900/mo); guest meals ($15 – $25/plate); villa meal-delivery fee ($5 – $10/meal)</t>
  </si>
  <si>
    <t xml:space="preserve">Weekly housekeeping upgrade (+$150 – $300/mo); deep cleaning ($40 – $60/hr); personal laundry &amp; linen ($20 – $35/load or $100 – $150/mo package)</t>
  </si>
  <si>
    <t xml:space="preserve">Medication management assistance ($300 – $600/mo); physical &amp; occupational therapy copays</t>
  </si>
  <si>
    <t xml:space="preserve">Replacement emergency pendant/fob ($100 – $150 one-time)</t>
  </si>
  <si>
    <t xml:space="preserve">Not listed as an extra-fee item (bundled in base)</t>
  </si>
  <si>
    <t xml:space="preserve">Pet deposit/rent ($250 – $500; $25 – $50/mo); private care &amp; support ($300 – $600/mo); specialized deep cleaning ($40 – $60/hr); laundry packages</t>
  </si>
  <si>
    <t xml:space="preserve">All items on this row are available at extra cost (à la carte).</t>
  </si>
  <si>
    <t xml:space="preserve">Scott Wood</t>
  </si>
  <si>
    <t xml:space="preserve">Email: service comparison table (Provincial/Discovery IL vs Integrated Senior Living TX)</t>
  </si>
  <si>
    <t xml:space="preserve">Email, Sept 2026</t>
  </si>
  <si>
    <t xml:space="preserve">Provincial / Discovery IL (villa or cottage residents)</t>
  </si>
  <si>
    <t xml:space="preserve">Discovery Senior Living (Provincial)</t>
  </si>
  <si>
    <t xml:space="preserve">Independent Living community with cottage/villa residents</t>
  </si>
  <si>
    <t xml:space="preserve">Transportation is the same as for community residents; 10-mile radius from the community</t>
  </si>
  <si>
    <t xml:space="preserve">Same as community residents</t>
  </si>
  <si>
    <t xml:space="preserve">Two meals included</t>
  </si>
  <si>
    <t xml:space="preserve">N/A (as reported)</t>
  </si>
  <si>
    <t xml:space="preserve">Reported by Scott Wood, VP Operations. "N/A" entered by the source for Wellness and Other Services.</t>
  </si>
  <si>
    <t xml:space="preserve">Integrated Senior Living (Texas)</t>
  </si>
  <si>
    <t xml:space="preserve">Integrated Senior Living</t>
  </si>
  <si>
    <t xml:space="preserve">Texas</t>
  </si>
  <si>
    <t xml:space="preserve">Not provided</t>
  </si>
  <si>
    <t xml:space="preserve">1 meal included; additional dining à la carte</t>
  </si>
  <si>
    <t xml:space="preserve">Jennifer Saxman</t>
  </si>
  <si>
    <t xml:space="preserve">Email: detached cottage / villa benchmarking table and narrative</t>
  </si>
  <si>
    <t xml:space="preserve">Cedarhurst of Frankfort – IL Cottages</t>
  </si>
  <si>
    <t xml:space="preserve">Cedarhurst Senior Living</t>
  </si>
  <si>
    <t xml:space="preserve">Frankfort (state not stated)</t>
  </si>
  <si>
    <t xml:space="preserve">IL Cottages (detached)</t>
  </si>
  <si>
    <t xml:space="preserve">Available</t>
  </si>
  <si>
    <t xml:space="preserve">Wellness programming and community activities</t>
  </si>
  <si>
    <t xml:space="preserve">Continental breakfast daily plus one three-course dinner weekly</t>
  </si>
  <si>
    <t xml:space="preserve">Every other week included</t>
  </si>
  <si>
    <t xml:space="preserve">Wellness programming</t>
  </si>
  <si>
    <t xml:space="preserve">Grounds, snow and ice care</t>
  </si>
  <si>
    <t xml:space="preserve">Utility bundle</t>
  </si>
  <si>
    <t xml:space="preserve">Dining, deep cleaning, pet care, carpet cleaning, handyman, home health/therapy</t>
  </si>
  <si>
    <t xml:space="preserve">From Saxman benchmarking table of detached / separate homes.</t>
  </si>
  <si>
    <t xml:space="preserve">Our Lady of Angels – Duplex Cottages</t>
  </si>
  <si>
    <t xml:space="preserve">Our Lady of Angels</t>
  </si>
  <si>
    <t xml:space="preserve">Duplex Cottages (limited independent model)</t>
  </si>
  <si>
    <t xml:space="preserve">Limited independent model</t>
  </si>
  <si>
    <t xml:space="preserve">Meals not provided</t>
  </si>
  <si>
    <t xml:space="preserve">Limited</t>
  </si>
  <si>
    <t xml:space="preserve">Security and emergency call system</t>
  </si>
  <si>
    <t xml:space="preserve">Water included; resident pays other utilities</t>
  </si>
  <si>
    <t xml:space="preserve">Included (limited)</t>
  </si>
  <si>
    <t xml:space="preserve">Hamilton Trace – Cottages</t>
  </si>
  <si>
    <t xml:space="preserve">CarDon &amp; Associates (per Lopez inventory)</t>
  </si>
  <si>
    <t xml:space="preserve">Fishers, IN (per Lopez inventory)</t>
  </si>
  <si>
    <t xml:space="preserve">Cottages</t>
  </si>
  <si>
    <t xml:space="preserve">Scheduled transportation included</t>
  </si>
  <si>
    <t xml:space="preserve">Community programming available</t>
  </si>
  <si>
    <t xml:space="preserve">Restaurant dining available separately</t>
  </si>
  <si>
    <t xml:space="preserve">Monthly wellness clinic</t>
  </si>
  <si>
    <t xml:space="preserve">Emergency response included</t>
  </si>
  <si>
    <t xml:space="preserve">Water/sewer included</t>
  </si>
  <si>
    <t xml:space="preserve">Dining, salon, unscheduled transportation, guest meals, laundry and concierge</t>
  </si>
  <si>
    <t xml:space="preserve">From Saxman benchmarking table of detached / separate homes. Also appears in Lopez inventory (cross-check row).</t>
  </si>
  <si>
    <t xml:space="preserve">Robin Run Village – Garden Homes</t>
  </si>
  <si>
    <t xml:space="preserve">Garden Homes</t>
  </si>
  <si>
    <t xml:space="preserve">Community activities included</t>
  </si>
  <si>
    <t xml:space="preserve">15 meals/month included; additional meals available</t>
  </si>
  <si>
    <t xml:space="preserve">Monthly housekeeping included</t>
  </si>
  <si>
    <t xml:space="preserve">Maintenance, lawn and snow</t>
  </si>
  <si>
    <t xml:space="preserve">Most utilities included</t>
  </si>
  <si>
    <t xml:space="preserve">Additional meals</t>
  </si>
  <si>
    <t xml:space="preserve">Wesley Village – Patio Homes</t>
  </si>
  <si>
    <t xml:space="preserve">Patio Homes</t>
  </si>
  <si>
    <t xml:space="preserve">Fitness, pool and community programming</t>
  </si>
  <si>
    <t xml:space="preserve">Complimentary weekday breakfast; additional dining available</t>
  </si>
  <si>
    <t xml:space="preserve">Additional/in-home assistance available</t>
  </si>
  <si>
    <t xml:space="preserve">Fitness, pool and wellness</t>
  </si>
  <si>
    <t xml:space="preserve">Maintenance and grounds</t>
  </si>
  <si>
    <t xml:space="preserve">Utilities, cable and trash included</t>
  </si>
  <si>
    <t xml:space="preserve">Additional dining and in-home assistance</t>
  </si>
  <si>
    <t xml:space="preserve">Garbry Ridge – Cottages</t>
  </si>
  <si>
    <t xml:space="preserve">Routine outings included</t>
  </si>
  <si>
    <t xml:space="preserve">Community outings and activities</t>
  </si>
  <si>
    <t xml:space="preserve">Meals available separately</t>
  </si>
  <si>
    <t xml:space="preserve">Wellness clinic available</t>
  </si>
  <si>
    <t xml:space="preserve">Lawn, landscaping and snow</t>
  </si>
  <si>
    <t xml:space="preserve">Gas, electric, water, sewer and trash</t>
  </si>
  <si>
    <t xml:space="preserve">Meals, therapy, wellness and salon</t>
  </si>
  <si>
    <t xml:space="preserve">Highgrove at Tates Creek – Detached Cottages</t>
  </si>
  <si>
    <t xml:space="preserve">Detached cottages, highly independent residential living (lighter service model)</t>
  </si>
  <si>
    <t xml:space="preserve">Housekeeping approx. $240/month (optional)</t>
  </si>
  <si>
    <t xml:space="preserve">Housekeeping available separately (approx. $240/month), not bundled</t>
  </si>
  <si>
    <t xml:space="preserve">Housekeeping offered as an optional add-on</t>
  </si>
  <si>
    <t xml:space="preserve">Narrative example: "lighter service structure."</t>
  </si>
  <si>
    <t xml:space="preserve">The Village at Bay Ridge</t>
  </si>
  <si>
    <t xml:space="preserve">Lighter cottage model</t>
  </si>
  <si>
    <t xml:space="preserve">May be available</t>
  </si>
  <si>
    <t xml:space="preserve">Activities may be available</t>
  </si>
  <si>
    <t xml:space="preserve">Meals optional</t>
  </si>
  <si>
    <t xml:space="preserve">Housekeeping and laundry optional</t>
  </si>
  <si>
    <t xml:space="preserve">Wellness may be available</t>
  </si>
  <si>
    <t xml:space="preserve">Meals, housekeeping and laundry remain optional</t>
  </si>
  <si>
    <t xml:space="preserve">Narrative example of a lighter model (transportation, activities or wellness may be available; meals, housekeeping and laundry can remain optional).</t>
  </si>
  <si>
    <t xml:space="preserve">Swanhaven Manor</t>
  </si>
  <si>
    <t xml:space="preserve">Smith Crossing – Villas (heavier bundled model)</t>
  </si>
  <si>
    <t xml:space="preserve">Smith Senior Living Communities (per Lopez inventory)</t>
  </si>
  <si>
    <t xml:space="preserve">Orland Park, IL (per Lopez inventory)</t>
  </si>
  <si>
    <t xml:space="preserve">Villas, bundled service model</t>
  </si>
  <si>
    <t xml:space="preserve">Transportation bundled</t>
  </si>
  <si>
    <t xml:space="preserve">Housekeeping bundled</t>
  </si>
  <si>
    <t xml:space="preserve">Wellness resources bundled</t>
  </si>
  <si>
    <t xml:space="preserve">Emergency response bundled</t>
  </si>
  <si>
    <t xml:space="preserve">Maintenance bundled</t>
  </si>
  <si>
    <t xml:space="preserve">Utilities bundled</t>
  </si>
  <si>
    <t xml:space="preserve">Bundles significantly more into the villa experience</t>
  </si>
  <si>
    <t xml:space="preserve">Narrative example at the bundled end of the spectrum. Also appears in Lopez inventory (cross-check row).</t>
  </si>
  <si>
    <t xml:space="preserve">Saxman research — overall takeaway (not a single community)</t>
  </si>
  <si>
    <t xml:space="preserve">Multi-market</t>
  </si>
  <si>
    <t xml:space="preserve">Detached cottage / villa / garden home / patio home products (fully independent residences)</t>
  </si>
  <si>
    <t xml:space="preserve">Fairly common</t>
  </si>
  <si>
    <t xml:space="preserve">Fairly common (programming)</t>
  </si>
  <si>
    <t xml:space="preserve">Varies considerably; often optional or at additional cost</t>
  </si>
  <si>
    <t xml:space="preserve">Most consistently observed: lawn care, landscaping, snow removal and home maintenance removed from resident</t>
  </si>
  <si>
    <t xml:space="preserve">Recommended operating structure: Base + Choice — include services that remove homeownership burden, then let residents add dining, housekeeping, personal transportation, laundry, concierge and other convenience services</t>
  </si>
  <si>
    <t xml:space="preserve">Saxman: "There is not one standard cottage service model." Detached cottage customer makes a proactive lifestyle decision, not a care-driven one; goal is to make independent living easier, not recreate traditional IL in a detached house.</t>
  </si>
  <si>
    <t xml:space="preserve">Synthesis — Cottage / Villa Service Offerings Across Four Sources</t>
  </si>
  <si>
    <t xml:space="preserve">All counts below are live formulas over the Consolidated Data tab (tier columns). Narrative cells summarize what each source reported.</t>
  </si>
  <si>
    <t xml:space="preserve">1. Service coverage by function — how often each function is reported</t>
  </si>
  <si>
    <t xml:space="preserve">Function</t>
  </si>
  <si>
    <t xml:space="preserve">Source</t>
  </si>
  <si>
    <t xml:space="preserve">n (rows)</t>
  </si>
  <si>
    <t xml:space="preserve">Any mention</t>
  </si>
  <si>
    <t xml:space="preserve">% any mention</t>
  </si>
  <si>
    <t xml:space="preserve">% included (of mentions)</t>
  </si>
  <si>
    <t xml:space="preserve">Reading note: Lopez rows are a web-researched inventory (Oct 2023) where "Not stated" usually means the community website did not list that service, not that it is absent. Saxman rows include the 6-community table plus narrative examples. Witzgall (2 model rows) and Wood (2 rows) are excluded from counts because they are not community-level inventories.</t>
  </si>
  <si>
    <t xml:space="preserve">2. Pricing snapshot</t>
  </si>
  <si>
    <t xml:space="preserve">Metric</t>
  </si>
  <si>
    <t xml:space="preserve">Value</t>
  </si>
  <si>
    <t xml:space="preserve">Source / basis</t>
  </si>
  <si>
    <t xml:space="preserve">Lopez: communities with a monthly fee reported</t>
  </si>
  <si>
    <t xml:space="preserve">Consolidated Data col K (parsed from reported pricing)</t>
  </si>
  <si>
    <t xml:space="preserve">Lopez: lowest reported monthly fee</t>
  </si>
  <si>
    <t xml:space="preserve">see note</t>
  </si>
  <si>
    <t xml:space="preserve">Lopez: median reported monthly fee (low end of each range)</t>
  </si>
  <si>
    <t xml:space="preserve">Consolidated Data col K, Lopez rows only</t>
  </si>
  <si>
    <t xml:space="preserve">Lopez: highest reported monthly fee</t>
  </si>
  <si>
    <t xml:space="preserve">Consolidated Data col L, Lopez rows only</t>
  </si>
  <si>
    <t xml:space="preserve">Lopez: communities confirmed to require an entry / entrance fee</t>
  </si>
  <si>
    <t xml:space="preserve">Consolidated Data col M</t>
  </si>
  <si>
    <t xml:space="preserve">Lopez: additional CCRCs where entry fee not stated</t>
  </si>
  <si>
    <t xml:space="preserve">Witzgall: typical rental cottage monthly fee</t>
  </si>
  <si>
    <t xml:space="preserve">$2,500 – $6,500+ per month</t>
  </si>
  <si>
    <t xml:space="preserve">Witzgall PDF, fee table (rental model; 900 – 1,800+ sq ft)</t>
  </si>
  <si>
    <t xml:space="preserve">Witzgall: one-time move-in / community fee</t>
  </si>
  <si>
    <t xml:space="preserve">$1,000 – $5,000 (non-refundable)</t>
  </si>
  <si>
    <t xml:space="preserve">Witzgall PDF</t>
  </si>
  <si>
    <t xml:space="preserve">Witzgall: second-person fee</t>
  </si>
  <si>
    <t xml:space="preserve">$500 – $1,000 per month</t>
  </si>
  <si>
    <t xml:space="preserve">Witzgall: rental cottage premium vs. IL apartment</t>
  </si>
  <si>
    <t xml:space="preserve">15% – 30% monthly premium over IL apartments of similar size ($2,200 – $4,500/mo)</t>
  </si>
  <si>
    <t xml:space="preserve">Witzgall PDF, strategic takeaways</t>
  </si>
  <si>
    <t xml:space="preserve">Witzgall: dining upgrade to 3 meals/day</t>
  </si>
  <si>
    <t xml:space="preserve">$600 – $900 per month</t>
  </si>
  <si>
    <t xml:space="preserve">Witzgall: weekly housekeeping upgrade</t>
  </si>
  <si>
    <t xml:space="preserve">+$150 – $300 per month over bi-weekly base</t>
  </si>
  <si>
    <t xml:space="preserve">Saxman: optional housekeeping (Highgrove at Tates Creek)</t>
  </si>
  <si>
    <t xml:space="preserve">approx. $240 per month</t>
  </si>
  <si>
    <t xml:space="preserve">Saxman email</t>
  </si>
  <si>
    <t xml:space="preserve">Lopez: à la carte housekeeping (Legacy Living Florence)</t>
  </si>
  <si>
    <t xml:space="preserve">$25 per hour</t>
  </si>
  <si>
    <t xml:space="preserve">Lopez inventory</t>
  </si>
  <si>
    <t xml:space="preserve">Note: Lopez min/median/max ranges reference rows 2–216 of Consolidated Data, which are exactly the Lopez rows (Witzgall, Wood and Saxman rows follow). Lopez monthly fees mix rental rates and CCRC monthly service fees that sit on top of an entrance fee (e.g., Wesley Manor $515/mo with a $179K entrance fee), so the low end understates rental-equivalent cost.</t>
  </si>
  <si>
    <t xml:space="preserve">3. What each source says, by function</t>
  </si>
  <si>
    <t xml:space="preserve">Laura Lopez — inventory of ~215 villa/cottage products (Midwest + TN/KY/OK)</t>
  </si>
  <si>
    <t xml:space="preserve">Ken Witzgall — rental cottage model profile</t>
  </si>
  <si>
    <t xml:space="preserve">Scott Wood — two operators</t>
  </si>
  <si>
    <t xml:space="preserve">Jennifer Saxman — detached cottage benchmarking</t>
  </si>
  <si>
    <t xml:space="preserve">Cross-source synthesis</t>
  </si>
  <si>
    <t xml:space="preserve">Listed at roughly a quarter of communities, and always as included when listed (scheduled community transportation). Never priced separately in the inventory.</t>
  </si>
  <si>
    <t xml:space="preserve">Included: scheduled group shuttles (shopping, banking) and medical transport within a 10-mile radius. Extras: beyond 10 miles ($2.50–$4.00/mile or $25–$50/trip), private car service ($30–$60/hr), airport runs ($75–$150).</t>
  </si>
  <si>
    <t xml:space="preserve">Provincial/Discovery: same as community residents, 10-mile radius. Integrated Senior Living: not provided.</t>
  </si>
  <si>
    <t xml:space="preserve">"Fairly common." 5 of 6 table communities include scheduled transportation or routine outings; Our Lady of Angels does not provide it. Unscheduled transportation appears as an à la carte item (Hamilton Trace).</t>
  </si>
  <si>
    <t xml:space="preserve">Scheduled/group transportation inside a ~10-mile radius is the norm and is treated as a base inclusion wherever cottage residents share the main campus. Personal or on-demand transportation is consistently an add-on. The 10-mile radius shows up independently in Witzgall and Wood.</t>
  </si>
  <si>
    <t xml:space="preserve">About a quarter of communities explicitly list campus amenity access (fitness, pool, chapel, theater, bistro, woodshop, etc.); when listed it is included. Newer rental products (Vitalia, Traditions) lean on clubhouse-style amenities.</t>
  </si>
  <si>
    <t xml:space="preserve">Included: on-campus classes/lectures, fitness center and pool access, social clubs and events. Extras: excursion tickets at cost, workshop materials ($10–$30), personal training ($60–$90/hr).</t>
  </si>
  <si>
    <t xml:space="preserve">Both operators: same as community residents.</t>
  </si>
  <si>
    <t xml:space="preserve">Programming is "fairly common"; all 6 table communities offer community activities/programming, ranging from "limited" (Our Lady of Angels) to fitness/pool/community programming (Wesley Village).</t>
  </si>
  <si>
    <t xml:space="preserve">Full access to the main community's programming and amenities is a universal, low-marginal-cost inclusion. Differentiation happens on outings, specialty classes and personal training, which are pay-per-use everywhere they are itemized.</t>
  </si>
  <si>
    <t xml:space="preserve">Only ~25% mention dining; roughly a third of those are optional or credit-based ("flexible meal allowance," "$490/$540/$600 monthly dining credit," "meal options available"). Included plans range from continental breakfast to 1 meal/day, 10–30 meals/month, or 3 meals/day (rare, usually AL-adjacent).</t>
  </si>
  <si>
    <t xml:space="preserve">Included: continental breakfast OR 1 chef-prepared meal/day, or a $300/month declining-balance card. Extras: 3-meal plan upgrade ($600–$900/mo), guest meals ($15–$25), villa delivery ($5–$10/meal).</t>
  </si>
  <si>
    <t xml:space="preserve">Provincial/Discovery: two meals included. Integrated Senior Living: 1 meal included, rest à la carte.</t>
  </si>
  <si>
    <t xml:space="preserve">"Varies considerably" and often optional/extra. Table spans meals not provided (Our Lady of Angels) → breakfast only (Wesley Village) → 15 meals/month (Robin Run) → breakfast plus one dinner weekly (Cedarhurst).</t>
  </si>
  <si>
    <t xml:space="preserve">Dining is the most variable function and the clearest place to tier. Cottages have full kitchens, so the market converges on a light base (breakfast or a modest declining-balance credit) with upgrade plans priced separately. Full meal plans belong at the top tier only.</t>
  </si>
  <si>
    <t xml:space="preserve">About a third mention housekeeping. Bi-weekly is the most common cadence, then weekly (often paired with flat-linen service, e.g., Five Star, Concordia OKC, Zarrow Pointe), then monthly "light" housekeeping (Twin Lakes/Twin Towers). Laundry service is occasionally included or "available."</t>
  </si>
  <si>
    <t xml:space="preserve">Included: bi-weekly light interior housekeeping. Extras: weekly upgrade (+$150–$300/mo), deep cleaning ($40–$60/hr), laundry &amp; linen ($20–$35/load or $100–$150/mo).</t>
  </si>
  <si>
    <t xml:space="preserve">Provincial/Discovery: weekly housekeeping. Integrated Senior Living: not provided.</t>
  </si>
  <si>
    <t xml:space="preserve">"Varies considerably." Every other week (Cedarhurst, Hamilton Trace), monthly (Robin Run, Garbry Ridge), included (Our Lady of Angels), or optional (~$240/mo at Highgrove; optional at Bay Ridge/Swanhaven).</t>
  </si>
  <si>
    <t xml:space="preserve">Bi-weekly housekeeping is the market midpoint; monthly or optional at the light end, weekly plus linen at the premium end. Housekeeping is the one service with a consistent, quotable upcharge across sources ($150–$300/mo for weekly; ~$240/mo when sold stand-alone).</t>
  </si>
  <si>
    <t xml:space="preserve">Rarely listed as a cottage-specific service; appears mostly as campus fitness/pool/wellness center access, on-site clinic or rehab "available," an annual health/wellness allowance (Twin Lakes), or free health-center days (Village at Germantown).</t>
  </si>
  <si>
    <t xml:space="preserve">Included: monthly wellness check-up (BP, weight). Extras: medication management ($300–$600/mo), PT/OT copays, replacement pendant ($100–$150).</t>
  </si>
  <si>
    <t xml:space="preserve">Both operators reported N/A.</t>
  </si>
  <si>
    <t xml:space="preserve">"Fairly common." Wellness programming or a monthly wellness clinic at 5 of 6; "limited" at Our Lady of Angels.</t>
  </si>
  <si>
    <t xml:space="preserve">Wellness is under-defined for cottages. The defensible base is campus fitness access plus a light-touch wellness clinic; clinical or care services (medication management, home health, therapy) are universally à la carte or third-party.</t>
  </si>
  <si>
    <t xml:space="preserve">The most frequently listed service after utilities and maintenance (~35%): emergency call/response systems or pendants, often with 24-hour security or gated entry at CCRCs.</t>
  </si>
  <si>
    <t xml:space="preserve">Included: 24/7 wireless emergency responder system (pendant/pull cords). Extra: replacement pendant/fob.</t>
  </si>
  <si>
    <t xml:space="preserve">Not addressed.</t>
  </si>
  <si>
    <t xml:space="preserve">"Fairly common." Emergency response/call systems included at 5 of 6 communities.</t>
  </si>
  <si>
    <t xml:space="preserve">An emergency response system is table stakes at every tier; 24-hour security or gated entry differentiates the premium end. Cost is low and it addresses the primary anxiety of detached living.</t>
  </si>
  <si>
    <t xml:space="preserve">The most common inclusion (~48%): "interior/exterior maintenance," "maintenance-free living," lawn care, snow removal, landscaping, grounds. Never priced separately.</t>
  </si>
  <si>
    <t xml:space="preserve">Included: full exterior maintenance (lawn, snow) and routine interior appliance/utility maintenance. The "completely maintenance-free environment" is called the core value proposition.</t>
  </si>
  <si>
    <t xml:space="preserve">"Most consistently observed": lawn, landscaping, snow removal and home maintenance are removed from the resident at every example.</t>
  </si>
  <si>
    <t xml:space="preserve">Unanimous across sources. Removing homeownership work is the product; interior and exterior maintenance must be included at every tier and never itemized.</t>
  </si>
  <si>
    <t xml:space="preserve">Most common line item (~55%). Ranges from water/sewer/trash only, to "all utilities except phone/cable/internet," to all utilities plus cable, Wi-Fi and phone. Entry-fee CCRCs frequently add property taxes and building insurance.</t>
  </si>
  <si>
    <t xml:space="preserve">Standard utilities, basic cable/Wi-Fi bundled into the monthly rental fee.</t>
  </si>
  <si>
    <t xml:space="preserve">"Fairly common." Ranges from water only (Our Lady of Angels) to full gas/electric/water/sewer/trash (Garbry Ridge) and utilities plus cable and trash (Wesley Village).</t>
  </si>
  <si>
    <t xml:space="preserve">Water/sewer/trash is the floor; a full utility bundle with cable and Wi-Fi is the mainstream expectation for a rental product; taxes/insurance are inherent to the ownership structure rather than a service choice.</t>
  </si>
  <si>
    <t xml:space="preserve">Occasional: 24/7 concierge (Five Star, Robinwood), "concierge services" (Provision, Edgewater), homecare/laundry "available," priority access to a sister campus, $25/hr housekeeping.</t>
  </si>
  <si>
    <t xml:space="preserve">Pet deposit/rent, private care &amp; support ($300–$600/mo), deep cleaning, laundry packages, guest meals, delivery fees — a deliberate ancillary revenue stream.</t>
  </si>
  <si>
    <t xml:space="preserve">Extensive menus at the better-run examples: dining, deep cleaning, pet care, carpet cleaning, handyman, home health/therapy, salon, unscheduled transportation, guest meals, laundry, concierge. Recommends a Base + Choice structure.</t>
  </si>
  <si>
    <t xml:space="preserve">A published à la carte menu is what separates a "better" cottage program from a "good" one. Saxman and Witzgall independently frame the same architecture: include what removes homeownership burden, sell convenience.</t>
  </si>
  <si>
    <t xml:space="preserve">4. Cross-source observations</t>
  </si>
  <si>
    <t xml:space="preserve">• There is no single standard cottage service model (Saxman), and the Lopez inventory confirms it: 215 products range from garage-and-washer/dryer-only to fully bundled CCRC villas.</t>
  </si>
  <si>
    <t xml:space="preserve">• The consistent core across all four sources is the removal of homeownership work: interior/exterior maintenance, lawn, snow, landscaping, plus base utilities and an emergency response system.</t>
  </si>
  <si>
    <t xml:space="preserve">• Dining and housekeeping are the two functions that vary most and are most often optional or priced separately; they are therefore the natural levers for tiering.</t>
  </si>
  <si>
    <t xml:space="preserve">• Transportation is generally a shared-campus inclusion within a ~10-mile radius (Witzgall, Wood, Saxman); personal or on-demand transportation is an add-on.</t>
  </si>
  <si>
    <t xml:space="preserve">• Witzgall's fee table gives a usable price architecture for add-ons (weekly housekeeping +$150–$300/mo; 3-meal plan $600–$900/mo; laundry $100–$150/mo; care/medication support $300–$600/mo) that is consistent with Saxman's ~$240/mo optional housekeeping and Lopez's $25/hr housekeeping example.</t>
  </si>
  <si>
    <t xml:space="preserve">• Rental cottages command a 15–30% premium over IL apartments and lease up faster because there is no entrance fee (Witzgall); ~30% of Lopez communities require an entrance fee, typically at CCRCs.</t>
  </si>
  <si>
    <t xml:space="preserve">• Wood's two operators show that even within one company family, service packages diverge (two meals plus weekly housekeeping vs. one meal and no housekeeping or transportation).</t>
  </si>
  <si>
    <t xml:space="preserve">• Operational caveat (Witzgall): spread-footprint cottages increase staff travel time for housekeeping, maintenance and emergency response; bundled services need routing discipline to protect margin.</t>
  </si>
  <si>
    <t xml:space="preserve">• Cross-check: Smith Crossing appears in both Lopez (Oct 2023 web listing shows only garage, washer/dryer, porch and campus amenities) and Saxman (described as bundling housekeeping, maintenance, utilities, transportation, emergency response and wellness). Saxman's later, direct research is the more complete picture; the Lopez entry reflects what the website advertised.</t>
  </si>
  <si>
    <t xml:space="preserve">• Data caveats: Lopez is an Oct 2023 web scrape ("Not stated" ≠ not offered; several entries flagged "none confirmed"); Witzgall is an AI-generated market profile, not an operator disclosure; Wood and Saxman are operator/consultant reports without dates or prices for most items.</t>
  </si>
  <si>
    <t xml:space="preserve">Service Offering Recommendations — Good / Better / Best by Function</t>
  </si>
  <si>
    <t xml:space="preserve">Three candidate offerings per function, derived from the Synthesis tab. "Good" = maintenance-free essentials (lightest viable package). "Better" = Base + Choice (market midpoint with a published add-on menu). "Best" = bundled villa experience (premium, CCRC-style inclusions). Indicative prices come from the sources cited; they are benchmarks, not a pricing recommendation.</t>
  </si>
  <si>
    <t xml:space="preserve">GOOD — Maintenance-Free Essentials</t>
  </si>
  <si>
    <t xml:space="preserve">BETTER — Base + Choice</t>
  </si>
  <si>
    <t xml:space="preserve">BEST — Bundled Villa Experience</t>
  </si>
  <si>
    <t xml:space="preserve">Why these three (evidence)</t>
  </si>
  <si>
    <t xml:space="preserve">Indicative pricing from sources</t>
  </si>
  <si>
    <t xml:space="preserve">Sources</t>
  </si>
  <si>
    <t xml:space="preserve">Scheduled group shuttle on the community's existing routes (shopping, banking, worship) within a 10-mile radius; medical appointments on set days. No personal transportation.</t>
  </si>
  <si>
    <t xml:space="preserve">Good, plus scheduled medical transportation within 10 miles on any weekday, and a published per-trip / per-mile rate for trips beyond 10 miles and for unscheduled rides.</t>
  </si>
  <si>
    <t xml:space="preserve">Better, plus a private on-demand car service allowance (e.g., a set number of personal trips per month) and after-hours / airport runs bookable through concierge.</t>
  </si>
  <si>
    <t xml:space="preserve">Scheduled transportation within ~10 miles is included at Provincial/Discovery (Wood), in the Witzgall model and at 5 of 6 Saxman communities; it is never itemized in the Lopez inventory. Personal/unscheduled transportation is à la carte everywhere it is mentioned (Hamilton Trace, Witzgall).</t>
  </si>
  <si>
    <t xml:space="preserve">Beyond-radius medical: $2.50–$4.00/mile or $25–$50/trip; private car $30–$60/hr; airport $75–$150/trip (Witzgall).</t>
  </si>
  <si>
    <t xml:space="preserve">Witzgall; Wood; Saxman; Lopez</t>
  </si>
  <si>
    <t xml:space="preserve">Full access to the main community's calendar, fitness center, pool and common areas on the same basis as apartment residents. Outings and ticketed events pay-per-use.</t>
  </si>
  <si>
    <t xml:space="preserve">Good, plus a cottage-specific social program (neighborhood events, resident-led clubs, a cottage liaison) and a small annual outing credit.</t>
  </si>
  <si>
    <t xml:space="preserve">Better, plus concierge-booked excursions, specialty classes and personal training with a monthly enrichment credit, and priority registration for limited-seat events.</t>
  </si>
  <si>
    <t xml:space="preserve">Every source treats campus programming as an inclusion ("same as community residents" at both Wood operators; included in Witzgall; present at all 6 Saxman communities). Only excursions, materials and personal training are ever priced.</t>
  </si>
  <si>
    <t xml:space="preserve">Excursion tickets at cost $20–$100+; workshop materials $10–$30/class; personal training $60–$90/hr (Witzgall).</t>
  </si>
  <si>
    <t xml:space="preserve">No meal plan in the base rent. Restaurant dining open to cottage residents at posted prices; a weekly continental breakfast or coffee social at the clubhouse.</t>
  </si>
  <si>
    <t xml:space="preserve">A monthly declining-balance dining credit (in the $300–$600 range) usable at any venue, with optional upgrade plans (10, 15 or 30 meals/month) priced separately and villa delivery at a per-meal fee.</t>
  </si>
  <si>
    <t xml:space="preserve">One chef-prepared meal per day (or 20–30 meals/month) included, plus daily continental breakfast, guest-meal allowance and villa delivery included; upgrade path to a full 3-meal plan.</t>
  </si>
  <si>
    <t xml:space="preserve">Dining is the most variable function: 17 of 53 Lopez mentions are optional or credit-based; Saxman ranges from none to 15 meals/month; Wood shows 1 vs 2 meals; Witzgall's base is breakfast, 1 meal/day or a $300 card. Full kitchens make a heavy plan unnecessary for most buyers.</t>
  </si>
  <si>
    <t xml:space="preserve">Declining-balance credits observed: $300/mo (Witzgall), $490 (Lake Forest Place), $540 (Friendship Village Dublin), $600 (The Stratford) (Lopez). 3-meal upgrade $600–$900/mo; guest meals $15–$25; delivery $5–$10/meal (Witzgall).</t>
  </si>
  <si>
    <t xml:space="preserve">Lopez; Witzgall; Wood; Saxman</t>
  </si>
  <si>
    <t xml:space="preserve">Not included. Housekeeping sold as a stand-alone monthly subscription or hourly service at a published rate; annual deep clean offered as an add-on.</t>
  </si>
  <si>
    <t xml:space="preserve">Bi-weekly light housekeeping included; weekly upgrade, deep cleaning and carpet cleaning at published prices.</t>
  </si>
  <si>
    <t xml:space="preserve">Weekly housekeeping with flat-linen service included, plus an annual spring deep clean; deep cleaning and organizing on request.</t>
  </si>
  <si>
    <t xml:space="preserve">Bi-weekly is the most common included cadence in Lopez and is the Witzgall base; monthly or optional at the light end (Robin Run, Garbry Ridge, Highgrove ~$240/mo, Integrated Senior Living none); weekly plus linen at the premium end (Five Star, Concordia OKC, Zarrow Pointe, Provincial/Discovery).</t>
  </si>
  <si>
    <t xml:space="preserve">Stand-alone: ~$240/mo (Saxman, Highgrove) or $25/hr (Lopez, Legacy Living Florence). Weekly upgrade over bi-weekly: +$150–$300/mo; deep clean $40–$60/hr (Witzgall).</t>
  </si>
  <si>
    <t xml:space="preserve">Laundry &amp; Linen</t>
  </si>
  <si>
    <t xml:space="preserve">In-unit washer/dryer (or hookups) provided; no laundry service.</t>
  </si>
  <si>
    <t xml:space="preserve">In-unit washer/dryer plus optional personal laundry and linen service priced per load or as a monthly package.</t>
  </si>
  <si>
    <t xml:space="preserve">In-unit washer/dryer plus weekly flat-linen service included; personal laundry package included or discounted.</t>
  </si>
  <si>
    <t xml:space="preserve">In-unit washer/dryer is near-universal in the Lopez inventory (a residence feature, not a service). Linen service rides with weekly housekeeping at the premium communities; laundry "available" at Trilogy campuses; Witzgall prices it as an add-on.</t>
  </si>
  <si>
    <t xml:space="preserve">Laundry &amp; linen $20–$35/load or $100–$150/mo package (Witzgall).</t>
  </si>
  <si>
    <t xml:space="preserve">Lopez; Witzgall; Saxman</t>
  </si>
  <si>
    <t xml:space="preserve">Fitness center and pool access included; wellness programming on the community calendar. Clinical services referred to third parties.</t>
  </si>
  <si>
    <t xml:space="preserve">Good, plus a monthly on-site wellness clinic (blood pressure, weight, medication review) and an optional daily check-in call; home health and therapy providers coordinated on request at their rates.</t>
  </si>
  <si>
    <t xml:space="preserve">Better, plus an annual wellness/health-services allowance, a set number of free health-center days per year, and a resident wellness navigator who coordinates home care, therapy and medication management.</t>
  </si>
  <si>
    <t xml:space="preserve">Cottage-specific wellness is thin in Lopez (mostly campus access, occasional clinic/rehab "available", Twin Lakes annual allowance, Village at Germantown 10 free health-center days). Witzgall includes a monthly check-up and prices care services; Saxman shows wellness clinics at 5 of 6; Wood reported N/A.</t>
  </si>
  <si>
    <t xml:space="preserve">Medication management $300–$600/mo; PT/OT at copay; personal training $60–$90/hr (Witzgall).</t>
  </si>
  <si>
    <t xml:space="preserve">Lopez; Witzgall; Saxman; Wood</t>
  </si>
  <si>
    <t xml:space="preserve">24/7 emergency call system (pendant or pull cords) monitored by the main community; standard exterior lighting.</t>
  </si>
  <si>
    <t xml:space="preserve">Good, plus a wireless/mobile pendant that works across campus, 24-hour on-campus staff response and an optional daily check-in.</t>
  </si>
  <si>
    <t xml:space="preserve">Better, plus gated or controlled entry, 24-hour security/EMT presence, in-home smart sensors or fall detection, and priority response routing for the cottage neighborhood.</t>
  </si>
  <si>
    <t xml:space="preserve">Emergency response is the second most common Lopez inclusion (74 communities), included in the Witzgall base and at 5 of 6 Saxman communities. 24-hour security and gated entry appear at the CCRC/premium end (Twin Lakes, Trezevant, Kirby Pines, Holy Cross Village). Witzgall flags slower response times on spread footprints.</t>
  </si>
  <si>
    <t xml:space="preserve">Replacement pendant/fob $100–$150 one-time (Witzgall); no recurring charge observed in any source.</t>
  </si>
  <si>
    <t xml:space="preserve">All exterior maintenance, lawn care, landscaping, snow and ice removal, plus repair of community-owned appliances and systems. Work-order response during business hours.</t>
  </si>
  <si>
    <t xml:space="preserve">Good, plus 24-hour emergency maintenance, routine interior preventive maintenance (filters, smoke detectors, seasonal checks) and a published handyman rate for resident-requested work.</t>
  </si>
  <si>
    <t xml:space="preserve">Better, plus included handyman hours each month, seasonal services (gutter, power-wash, window cleaning), and pre-scheduled interior refresh (paint/carpet) on a set cycle.</t>
  </si>
  <si>
    <t xml:space="preserve">Unanimous: maintenance is the single most common Lopez inclusion (102 communities), the Witzgall "core value proposition," and Saxman's "most consistently observed" service. It should never be optional; the tiers differ only in responsiveness and scope.</t>
  </si>
  <si>
    <t xml:space="preserve">Handyman appears only as an à la carte item (Cedarhurst, Saxman); no benchmark price in the sources.</t>
  </si>
  <si>
    <t xml:space="preserve">Water, sewer and trash included; resident pays electric, gas, cable, internet and phone directly.</t>
  </si>
  <si>
    <t xml:space="preserve">All standard utilities (electric, gas, water, sewer, trash) plus basic cable and Wi-Fi bundled into the monthly fee; phone optional.</t>
  </si>
  <si>
    <t xml:space="preserve">Better, plus premium cable/streaming package, phone, and (for entry-fee structures) property taxes and building insurance carried by the community.</t>
  </si>
  <si>
    <t xml:space="preserve">Utilities are the most common Lopez line item (118 communities) and span exactly these three levels: water/sewer/trash only (Tabor Hills, Wilson Commons), all utilities plus cable/Wi-Fi (Traditions, Legacies, Oaks at Bartlett), and all utilities plus phone/cable/internet/taxes/insurance (Twin Lakes, Maple Knoll, Friendship Village Dublin). Witzgall bundles standard utilities and basic cable/Wi-Fi in rent; Saxman ranges from water-only to full bundles.</t>
  </si>
  <si>
    <t xml:space="preserve">Bundled inside the monthly fee in every source; no separate utility pricing reported.</t>
  </si>
  <si>
    <t xml:space="preserve">Concierge &amp; Convenience Services (Additional / À La Carte)</t>
  </si>
  <si>
    <t xml:space="preserve">Front-desk assistance during business hours; a printed price list for the few services offered (housekeeping, guest meals).</t>
  </si>
  <si>
    <t xml:space="preserve">A published Base + Choice menu: housekeeping upgrades, laundry, dining plans, unscheduled transportation, pet services, deep/carpet cleaning, handyman, guest meals, salon, home-health referrals, each with a posted price; billed on the monthly statement.</t>
  </si>
  <si>
    <t xml:space="preserve">Better, plus 24/7 concierge (package receipt, reservations, vendor coordination, travel/lock-and-leave home checks), a monthly convenience credit, and a dedicated cottage services coordinator.</t>
  </si>
  <si>
    <t xml:space="preserve">Saxman recommends Base + Choice explicitly and lists the fullest menus (Cedarhurst, Hamilton Trace). Witzgall structures the same items as an ancillary revenue stream. 24/7 concierge appears at Five Star and Robinwood in Lopez. Wood's operators reported nothing beyond meals, housekeeping and transport.</t>
  </si>
  <si>
    <t xml:space="preserve">Pet deposit $250–$500 plus $25–$50/mo; private care &amp; support $300–$600/mo (Witzgall). Other menu items: see Housekeeping, Culinary, Transportation rows.</t>
  </si>
  <si>
    <t xml:space="preserve">Saxman; Witzgall; Lopez; Wood</t>
  </si>
  <si>
    <t xml:space="preserve">Packaging &amp; Pricing Structure</t>
  </si>
  <si>
    <t xml:space="preserve">Single rental rate covering residence, maintenance, base utilities and emergency response; everything else à la carte. Positions against the lighter models (Highgrove, Bay Ridge, Swanhaven, Integrated Senior Living).</t>
  </si>
  <si>
    <t xml:space="preserve">Base rent plus a modest bundled service fee (bi-weekly housekeeping, full utilities, dining credit, monthly clinic) with a transparent add-on menu and a second-person fee. Positions against the Witzgall rental profile and mid-market Lopez communities.</t>
  </si>
  <si>
    <t xml:space="preserve">All-inclusive monthly fee (weekly housekeeping and linen, daily meal, all utilities, concierge, wellness allowance), rental or entry-fee, positioned against Smith Crossing, Five Star, The Stratford, Twin Lakes and Lake Forest Place.</t>
  </si>
  <si>
    <t xml:space="preserve">Witzgall: rental cottages earn a 15–30% premium over IL apartments and lease faster without an entrance fee; monthly rents $2,500–$6,500+. Lopez median reported monthly fee ≈ $2,800 with a $515–$6,900 spread. Saxman: a proactive lifestyle buyer values independence plus fewer responsibilities, so the base must feel light.</t>
  </si>
  <si>
    <t xml:space="preserve">Assumption for planning only: Good ≈ $2,500–$3,500/mo, Better ≈ $3,500–$5,000/mo, Best ≈ $5,000–$6,500+/mo, mapped onto the Witzgall $2,500–$6,500+ range. Move-in fee $1,000–$5,000; second person $500–$1,000/mo (Witzgall).</t>
  </si>
  <si>
    <t xml:space="preserve">Witzgall; Lopez; Saxman</t>
  </si>
  <si>
    <t xml:space="preserve">Package view — what each tier includes at a glance</t>
  </si>
  <si>
    <t xml:space="preserve">Element</t>
  </si>
  <si>
    <t xml:space="preserve">Always included (all tiers)</t>
  </si>
  <si>
    <t xml:space="preserve">Interior/exterior maintenance, lawn, snow, landscaping; water/sewer/trash; emergency call system; scheduled shuttle within ~10 miles; full campus programming and fitness access; in-unit washer/dryer; attached garage.</t>
  </si>
  <si>
    <t xml:space="preserve">Same</t>
  </si>
  <si>
    <t xml:space="preserve">À la carte only</t>
  </si>
  <si>
    <t xml:space="preserve">Bi-weekly included; weekly upgrade priced</t>
  </si>
  <si>
    <t xml:space="preserve">Weekly with linen included; annual deep clean</t>
  </si>
  <si>
    <t xml:space="preserve">Dining</t>
  </si>
  <si>
    <t xml:space="preserve">Pay as you go; weekly breakfast social</t>
  </si>
  <si>
    <t xml:space="preserve">Monthly dining credit; upgrade plans priced</t>
  </si>
  <si>
    <t xml:space="preserve">1 meal/day (or 20–30/month) plus breakfast included</t>
  </si>
  <si>
    <t xml:space="preserve">Water/sewer/trash</t>
  </si>
  <si>
    <t xml:space="preserve">All utilities plus basic cable and Wi-Fi</t>
  </si>
  <si>
    <t xml:space="preserve">All utilities plus phone, premium cable; taxes/insurance where applicable</t>
  </si>
  <si>
    <t xml:space="preserve">Scheduled group only</t>
  </si>
  <si>
    <t xml:space="preserve">Plus scheduled medical within 10 miles; posted rates beyond</t>
  </si>
  <si>
    <t xml:space="preserve">Plus personal on-demand trip allowance and airport runs</t>
  </si>
  <si>
    <t xml:space="preserve">Wellness &amp; safety</t>
  </si>
  <si>
    <t xml:space="preserve">Emergency pendant; fitness access</t>
  </si>
  <si>
    <t xml:space="preserve">Plus monthly clinic; daily check-in option; campus-wide mobile pendant</t>
  </si>
  <si>
    <t xml:space="preserve">Plus wellness allowance, health-center days, navigator; 24-hr security / gated</t>
  </si>
  <si>
    <t xml:space="preserve">Convenience</t>
  </si>
  <si>
    <t xml:space="preserve">Business-hours front desk; short price list</t>
  </si>
  <si>
    <t xml:space="preserve">Published Base + Choice menu; second-person fee</t>
  </si>
  <si>
    <t xml:space="preserve">24/7 concierge; monthly convenience credit; cottage services coordinator</t>
  </si>
  <si>
    <t xml:space="preserve">Target buyer (per Saxman / Witzgall)</t>
  </si>
  <si>
    <t xml:space="preserve">Most independent, price-sensitive downsizer who wants to stop mowing</t>
  </si>
  <si>
    <t xml:space="preserve">Mainstream active adult who wants choices without a care-driven decision</t>
  </si>
  <si>
    <t xml:space="preserve">Buyer trading up from a CCRC villa or luxury rental who expects everything handled</t>
  </si>
  <si>
    <t xml:space="preserve">Closest benchmarks in the data</t>
  </si>
  <si>
    <t xml:space="preserve">Highgrove at Tates Creek; Village at Bay Ridge; Swanhaven Manor; Integrated Senior Living (TX); Tabor Hills; Vitalia rentals</t>
  </si>
  <si>
    <t xml:space="preserve">Witzgall rental profile; Hamilton Trace; Cedarhurst of Frankfort; Woodland Terrace; Cedarbrook of Northville; Provincial/Discovery IL</t>
  </si>
  <si>
    <t xml:space="preserve">Smith Crossing; Five Star Residences; The Stratford; Twin Lakes; Lake Forest Place; Concordia Life Plan (OKC); Zarrow Pointe</t>
  </si>
  <si>
    <t xml:space="preserve">Sources, attribution and method notes</t>
  </si>
  <si>
    <t xml:space="preserve">Document</t>
  </si>
  <si>
    <t xml:space="preserve">Date</t>
  </si>
  <si>
    <t xml:space="preserve">What it contributes</t>
  </si>
  <si>
    <t xml:space="preserve">Rows in Consolidated Data</t>
  </si>
  <si>
    <t xml:space="preserve">Caveats</t>
  </si>
  <si>
    <t xml:space="preserve">Community-by-community inventory of villa/cottage products: operator, location, type, count, pricing, included amenities, sub-market.</t>
  </si>
  <si>
    <t xml:space="preserve">Web-researched Oct 2023; "Not stated" means not found online, not necessarily absent. Several entries flagged "none confirmed."</t>
  </si>
  <si>
    <t xml:space="preserve">Industry profile of the rental cottage model: included vs. ancillary services by function, fee structure, strategic takeaways.</t>
  </si>
  <si>
    <t xml:space="preserve">AI-generated (Curated platform) from web sources dated Sept 15, 2026; price ranges are indicative national norms.</t>
  </si>
  <si>
    <t xml:space="preserve">Service package at two operators (transportation, life enrichment, culinary, housekeeping, wellness, other).</t>
  </si>
  <si>
    <t xml:space="preserve">No dates, prices, or detail on maintenance/utilities/safety; "N/A" reported for wellness and other services.</t>
  </si>
  <si>
    <t xml:space="preserve">Benchmark table of 6 detached-home products across 9 service functions, 4 narrative examples, and a Base + Choice recommendation.</t>
  </si>
  <si>
    <t xml:space="preserve">Operators, locations and prices mostly not stated; narrative examples are qualitative.</t>
  </si>
  <si>
    <t xml:space="preserve">Method</t>
  </si>
  <si>
    <t xml:space="preserve">• Every amenity line in the Lopez document was mapped to one or more of the nine service functions used in Jennifer Saxman's table (plus a Residence Features column for garages, washer/dryers, patios, etc.) using keyword rules; the original wording is preserved in each cell.</t>
  </si>
  <si>
    <t xml:space="preserve">• Campus-amenity lists (e.g., "Campus amenities (pool; gym; chapel)") are placed under Life Enrichment; when they mention fitness, pool, wellness, therapy or clinic they are also echoed under Wellness with a "(via campus amenities)" prefix.</t>
  </si>
  <si>
    <t xml:space="preserve">• Tier columns (Included / Included (limited) / Available (extra cost) / Not provided / Not stated) are derived from the text: wording such as "available," "optional," "extra," "credit," "allowance," "separately" or a dollar rate is classed as Available (extra cost).</t>
  </si>
  <si>
    <t xml:space="preserve">• Monthly Fee Low/High are parsed from the reported pricing text: dollar figures under $10,000 on the monthly side of the text, excluding entry/entrance fees, deposits and community fees. Entry fees are kept as text in the pricing column.</t>
  </si>
  <si>
    <t xml:space="preserve">• Witzgall's model is represented as two rows (typical included package; typical ancillary menu) because it is not a community-level inventory. Wood's table becomes two operator rows. Saxman's six-community table becomes six rows, her narrative examples four rows, and her overall takeaway one row.</t>
  </si>
  <si>
    <t xml:space="preserve">• Synthesis counts use COUNTIFS formulas over the tier columns and recalculate if rows are edited. Lopez pricing statistics reference the contiguous Lopez block (rows 2–216).</t>
  </si>
  <si>
    <t xml:space="preserve">• Recommendations are analytical judgments built from the synthesis; the Good/Better/Best price bands in the Packaging row are a planning assumption mapped onto Witzgall's $2,500–$6,500+ range, not sourced pricing.</t>
  </si>
  <si>
    <t xml:space="preserve">• Workbook built Sept 17, 2026 from the four sources above.</t>
  </si>
</sst>
</file>

<file path=xl/styles.xml><?xml version="1.0" encoding="utf-8"?>
<styleSheet xmlns="http://schemas.openxmlformats.org/spreadsheetml/2006/main">
  <numFmts count="3">
    <numFmt numFmtId="164" formatCode="General"/>
    <numFmt numFmtId="165" formatCode="\$#,##0"/>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000000"/>
      <name val="Arial"/>
      <family val="0"/>
      <charset val="1"/>
    </font>
    <font>
      <sz val="10"/>
      <name val="Arial"/>
      <family val="2"/>
    </font>
    <font>
      <b val="true"/>
      <sz val="14"/>
      <color rgb="FF1F3864"/>
      <name val="Arial"/>
      <family val="0"/>
      <charset val="1"/>
    </font>
    <font>
      <i val="true"/>
      <sz val="9"/>
      <color rgb="FF000000"/>
      <name val="Arial"/>
      <family val="0"/>
      <charset val="1"/>
    </font>
    <font>
      <b val="true"/>
      <sz val="12"/>
      <color rgb="FF1F3864"/>
      <name val="Arial"/>
      <family val="0"/>
      <charset val="1"/>
    </font>
    <font>
      <b val="true"/>
      <sz val="10"/>
      <color rgb="FF00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548235"/>
        <bgColor rgb="FF339966"/>
      </patternFill>
    </fill>
    <fill>
      <patternFill patternType="solid">
        <fgColor rgb="FF2E75B6"/>
        <bgColor rgb="FF0066CC"/>
      </patternFill>
    </fill>
    <fill>
      <patternFill patternType="solid">
        <fgColor rgb="FFC55A11"/>
        <bgColor rgb="FF993300"/>
      </patternFill>
    </fill>
    <fill>
      <patternFill patternType="solid">
        <fgColor rgb="FFE2EFDA"/>
        <bgColor rgb="FFDDEBF7"/>
      </patternFill>
    </fill>
    <fill>
      <patternFill patternType="solid">
        <fgColor rgb="FFDDEBF7"/>
        <bgColor rgb="FFE2EFDA"/>
      </patternFill>
    </fill>
    <fill>
      <patternFill patternType="solid">
        <fgColor rgb="FFFCE4D6"/>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F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26"/>
    <col collapsed="false" customWidth="true" hidden="false" outlineLevel="0" max="4" min="4" style="0" width="18"/>
    <col collapsed="false" customWidth="true" hidden="false" outlineLevel="0" max="5" min="5" style="0" width="34"/>
    <col collapsed="false" customWidth="true" hidden="false" outlineLevel="0" max="6" min="6" style="0" width="24"/>
    <col collapsed="false" customWidth="true" hidden="false" outlineLevel="0" max="7" min="7" style="0" width="20"/>
    <col collapsed="false" customWidth="true" hidden="false" outlineLevel="0" max="8" min="8" style="0" width="22"/>
    <col collapsed="false" customWidth="true" hidden="false" outlineLevel="0" max="9" min="9" style="0" width="18"/>
    <col collapsed="false" customWidth="true" hidden="false" outlineLevel="0" max="10" min="10" style="0" width="40"/>
    <col collapsed="false" customWidth="true" hidden="false" outlineLevel="0" max="12" min="11" style="0" width="12"/>
    <col collapsed="false" customWidth="true" hidden="false" outlineLevel="0" max="13" min="13" style="0" width="16"/>
    <col collapsed="false" customWidth="true" hidden="false" outlineLevel="0" max="23" min="14" style="0" width="34"/>
    <col collapsed="false" customWidth="true" hidden="false" outlineLevel="0" max="24" min="24" style="0" width="40"/>
    <col collapsed="false" customWidth="true" hidden="false" outlineLevel="0" max="25" min="25" style="0" width="28"/>
    <col collapsed="false" customWidth="true" hidden="false" outlineLevel="0" max="26" min="26" style="0" width="12"/>
    <col collapsed="false" customWidth="true" hidden="false" outlineLevel="0" max="35" min="27" style="0" width="18"/>
  </cols>
  <sheetData>
    <row r="1" customFormat="false" ht="4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ustomFormat="false" ht="46.25" hidden="false" customHeight="false" outlineLevel="0" collapsed="false">
      <c r="A2" s="2" t="n">
        <v>1</v>
      </c>
      <c r="B2" s="2" t="s">
        <v>35</v>
      </c>
      <c r="C2" s="2" t="s">
        <v>36</v>
      </c>
      <c r="D2" s="2" t="s">
        <v>37</v>
      </c>
      <c r="E2" s="2" t="s">
        <v>38</v>
      </c>
      <c r="F2" s="2" t="s">
        <v>39</v>
      </c>
      <c r="G2" s="2" t="s">
        <v>40</v>
      </c>
      <c r="H2" s="2" t="s">
        <v>41</v>
      </c>
      <c r="I2" s="2" t="s">
        <v>42</v>
      </c>
      <c r="J2" s="2" t="s">
        <v>43</v>
      </c>
      <c r="K2" s="3" t="n">
        <v>2926</v>
      </c>
      <c r="L2" s="3" t="n">
        <v>4006</v>
      </c>
      <c r="M2" s="2" t="s">
        <v>44</v>
      </c>
      <c r="N2" s="2" t="s">
        <v>13</v>
      </c>
      <c r="O2" s="2" t="s">
        <v>45</v>
      </c>
      <c r="P2" s="2"/>
      <c r="Q2" s="2" t="s">
        <v>46</v>
      </c>
      <c r="R2" s="2" t="s">
        <v>47</v>
      </c>
      <c r="S2" s="2" t="s">
        <v>48</v>
      </c>
      <c r="T2" s="2"/>
      <c r="U2" s="2" t="s">
        <v>49</v>
      </c>
      <c r="V2" s="2"/>
      <c r="W2" s="2" t="s">
        <v>50</v>
      </c>
      <c r="X2" s="2"/>
      <c r="Y2" s="2" t="s">
        <v>51</v>
      </c>
      <c r="Z2" s="2"/>
      <c r="AA2" s="2" t="s">
        <v>52</v>
      </c>
      <c r="AB2" s="2" t="s">
        <v>52</v>
      </c>
      <c r="AC2" s="2" t="s">
        <v>53</v>
      </c>
      <c r="AD2" s="2" t="s">
        <v>52</v>
      </c>
      <c r="AE2" s="2" t="s">
        <v>52</v>
      </c>
      <c r="AF2" s="2" t="s">
        <v>52</v>
      </c>
      <c r="AG2" s="2" t="s">
        <v>53</v>
      </c>
      <c r="AH2" s="2" t="s">
        <v>52</v>
      </c>
      <c r="AI2" s="2" t="s">
        <v>53</v>
      </c>
    </row>
    <row r="3" customFormat="false" ht="23.85" hidden="false" customHeight="false" outlineLevel="0" collapsed="false">
      <c r="A3" s="4" t="n">
        <v>2</v>
      </c>
      <c r="B3" s="4" t="s">
        <v>35</v>
      </c>
      <c r="C3" s="4" t="s">
        <v>36</v>
      </c>
      <c r="D3" s="4" t="s">
        <v>37</v>
      </c>
      <c r="E3" s="4" t="s">
        <v>54</v>
      </c>
      <c r="F3" s="4" t="s">
        <v>55</v>
      </c>
      <c r="G3" s="4" t="s">
        <v>56</v>
      </c>
      <c r="H3" s="4" t="s">
        <v>41</v>
      </c>
      <c r="I3" s="4" t="s">
        <v>57</v>
      </c>
      <c r="J3" s="4"/>
      <c r="K3" s="5"/>
      <c r="L3" s="5"/>
      <c r="M3" s="4" t="s">
        <v>58</v>
      </c>
      <c r="N3" s="4" t="s">
        <v>13</v>
      </c>
      <c r="O3" s="4" t="s">
        <v>59</v>
      </c>
      <c r="P3" s="4" t="s">
        <v>60</v>
      </c>
      <c r="Q3" s="4" t="s">
        <v>61</v>
      </c>
      <c r="R3" s="4" t="s">
        <v>62</v>
      </c>
      <c r="S3" s="4" t="s">
        <v>48</v>
      </c>
      <c r="T3" s="4"/>
      <c r="U3" s="4" t="s">
        <v>63</v>
      </c>
      <c r="V3" s="4"/>
      <c r="W3" s="4" t="s">
        <v>64</v>
      </c>
      <c r="X3" s="4"/>
      <c r="Y3" s="4" t="s">
        <v>65</v>
      </c>
      <c r="Z3" s="4" t="s">
        <v>66</v>
      </c>
      <c r="AA3" s="4" t="s">
        <v>52</v>
      </c>
      <c r="AB3" s="4" t="s">
        <v>52</v>
      </c>
      <c r="AC3" s="4" t="s">
        <v>52</v>
      </c>
      <c r="AD3" s="4" t="s">
        <v>52</v>
      </c>
      <c r="AE3" s="4" t="s">
        <v>52</v>
      </c>
      <c r="AF3" s="4" t="s">
        <v>52</v>
      </c>
      <c r="AG3" s="4" t="s">
        <v>53</v>
      </c>
      <c r="AH3" s="4" t="s">
        <v>52</v>
      </c>
      <c r="AI3" s="4" t="s">
        <v>53</v>
      </c>
    </row>
    <row r="4" customFormat="false" ht="23.85" hidden="false" customHeight="false" outlineLevel="0" collapsed="false">
      <c r="A4" s="2" t="n">
        <v>3</v>
      </c>
      <c r="B4" s="2" t="s">
        <v>35</v>
      </c>
      <c r="C4" s="2" t="s">
        <v>36</v>
      </c>
      <c r="D4" s="2" t="s">
        <v>37</v>
      </c>
      <c r="E4" s="2" t="s">
        <v>67</v>
      </c>
      <c r="F4" s="2" t="s">
        <v>68</v>
      </c>
      <c r="G4" s="2" t="s">
        <v>69</v>
      </c>
      <c r="H4" s="2" t="s">
        <v>41</v>
      </c>
      <c r="I4" s="2" t="s">
        <v>70</v>
      </c>
      <c r="J4" s="2" t="s">
        <v>71</v>
      </c>
      <c r="K4" s="3" t="n">
        <v>4620</v>
      </c>
      <c r="L4" s="3" t="n">
        <v>4620</v>
      </c>
      <c r="M4" s="2" t="s">
        <v>44</v>
      </c>
      <c r="N4" s="2" t="s">
        <v>13</v>
      </c>
      <c r="O4" s="2" t="s">
        <v>72</v>
      </c>
      <c r="P4" s="2"/>
      <c r="Q4" s="2" t="s">
        <v>73</v>
      </c>
      <c r="R4" s="2" t="s">
        <v>74</v>
      </c>
      <c r="S4" s="2" t="s">
        <v>48</v>
      </c>
      <c r="T4" s="2"/>
      <c r="U4" s="2"/>
      <c r="V4" s="2" t="s">
        <v>75</v>
      </c>
      <c r="W4" s="2" t="s">
        <v>76</v>
      </c>
      <c r="X4" s="2"/>
      <c r="Y4" s="2" t="s">
        <v>77</v>
      </c>
      <c r="Z4" s="2" t="s">
        <v>78</v>
      </c>
      <c r="AA4" s="2" t="s">
        <v>52</v>
      </c>
      <c r="AB4" s="2" t="s">
        <v>52</v>
      </c>
      <c r="AC4" s="2" t="s">
        <v>53</v>
      </c>
      <c r="AD4" s="2" t="s">
        <v>52</v>
      </c>
      <c r="AE4" s="2" t="s">
        <v>52</v>
      </c>
      <c r="AF4" s="2" t="s">
        <v>52</v>
      </c>
      <c r="AG4" s="2" t="s">
        <v>53</v>
      </c>
      <c r="AH4" s="2" t="s">
        <v>53</v>
      </c>
      <c r="AI4" s="2" t="s">
        <v>52</v>
      </c>
    </row>
    <row r="5" customFormat="false" ht="23.85" hidden="false" customHeight="false" outlineLevel="0" collapsed="false">
      <c r="A5" s="4" t="n">
        <v>4</v>
      </c>
      <c r="B5" s="4" t="s">
        <v>35</v>
      </c>
      <c r="C5" s="4" t="s">
        <v>36</v>
      </c>
      <c r="D5" s="4" t="s">
        <v>37</v>
      </c>
      <c r="E5" s="4" t="s">
        <v>79</v>
      </c>
      <c r="F5" s="4" t="s">
        <v>80</v>
      </c>
      <c r="G5" s="4" t="s">
        <v>81</v>
      </c>
      <c r="H5" s="4" t="s">
        <v>41</v>
      </c>
      <c r="I5" s="4" t="s">
        <v>82</v>
      </c>
      <c r="J5" s="4"/>
      <c r="K5" s="5"/>
      <c r="L5" s="5"/>
      <c r="M5" s="4" t="s">
        <v>58</v>
      </c>
      <c r="N5" s="4"/>
      <c r="O5" s="4"/>
      <c r="P5" s="4"/>
      <c r="Q5" s="4" t="s">
        <v>83</v>
      </c>
      <c r="R5" s="4"/>
      <c r="S5" s="4"/>
      <c r="T5" s="4"/>
      <c r="U5" s="4" t="s">
        <v>84</v>
      </c>
      <c r="V5" s="4"/>
      <c r="W5" s="4" t="s">
        <v>85</v>
      </c>
      <c r="X5" s="4"/>
      <c r="Y5" s="4" t="s">
        <v>86</v>
      </c>
      <c r="Z5" s="4" t="s">
        <v>87</v>
      </c>
      <c r="AA5" s="4" t="s">
        <v>53</v>
      </c>
      <c r="AB5" s="4" t="s">
        <v>53</v>
      </c>
      <c r="AC5" s="4" t="s">
        <v>53</v>
      </c>
      <c r="AD5" s="4" t="s">
        <v>52</v>
      </c>
      <c r="AE5" s="4" t="s">
        <v>53</v>
      </c>
      <c r="AF5" s="4" t="s">
        <v>53</v>
      </c>
      <c r="AG5" s="4" t="s">
        <v>53</v>
      </c>
      <c r="AH5" s="4" t="s">
        <v>52</v>
      </c>
      <c r="AI5" s="4" t="s">
        <v>53</v>
      </c>
    </row>
    <row r="6" customFormat="false" ht="23.85" hidden="false" customHeight="false" outlineLevel="0" collapsed="false">
      <c r="A6" s="2" t="n">
        <v>5</v>
      </c>
      <c r="B6" s="2" t="s">
        <v>35</v>
      </c>
      <c r="C6" s="2" t="s">
        <v>36</v>
      </c>
      <c r="D6" s="2" t="s">
        <v>37</v>
      </c>
      <c r="E6" s="2" t="s">
        <v>88</v>
      </c>
      <c r="F6" s="2" t="s">
        <v>89</v>
      </c>
      <c r="G6" s="2" t="s">
        <v>56</v>
      </c>
      <c r="H6" s="2" t="s">
        <v>90</v>
      </c>
      <c r="I6" s="2" t="s">
        <v>91</v>
      </c>
      <c r="J6" s="2"/>
      <c r="K6" s="3"/>
      <c r="L6" s="3"/>
      <c r="M6" s="2" t="s">
        <v>53</v>
      </c>
      <c r="N6" s="2"/>
      <c r="O6" s="2"/>
      <c r="P6" s="2" t="s">
        <v>92</v>
      </c>
      <c r="Q6" s="2" t="s">
        <v>93</v>
      </c>
      <c r="R6" s="2"/>
      <c r="S6" s="2"/>
      <c r="T6" s="2"/>
      <c r="U6" s="2" t="s">
        <v>94</v>
      </c>
      <c r="V6" s="2"/>
      <c r="W6" s="2" t="s">
        <v>95</v>
      </c>
      <c r="X6" s="2"/>
      <c r="Y6" s="2" t="s">
        <v>65</v>
      </c>
      <c r="Z6" s="2" t="s">
        <v>96</v>
      </c>
      <c r="AA6" s="2" t="s">
        <v>53</v>
      </c>
      <c r="AB6" s="2" t="s">
        <v>53</v>
      </c>
      <c r="AC6" s="2" t="s">
        <v>52</v>
      </c>
      <c r="AD6" s="2" t="s">
        <v>52</v>
      </c>
      <c r="AE6" s="2" t="s">
        <v>53</v>
      </c>
      <c r="AF6" s="2" t="s">
        <v>53</v>
      </c>
      <c r="AG6" s="2" t="s">
        <v>53</v>
      </c>
      <c r="AH6" s="2" t="s">
        <v>52</v>
      </c>
      <c r="AI6" s="2" t="s">
        <v>53</v>
      </c>
    </row>
    <row r="7" customFormat="false" ht="23.85" hidden="false" customHeight="false" outlineLevel="0" collapsed="false">
      <c r="A7" s="4" t="n">
        <v>6</v>
      </c>
      <c r="B7" s="4" t="s">
        <v>35</v>
      </c>
      <c r="C7" s="4" t="s">
        <v>36</v>
      </c>
      <c r="D7" s="4" t="s">
        <v>37</v>
      </c>
      <c r="E7" s="4" t="s">
        <v>97</v>
      </c>
      <c r="F7" s="4" t="s">
        <v>98</v>
      </c>
      <c r="G7" s="4" t="s">
        <v>99</v>
      </c>
      <c r="H7" s="4" t="s">
        <v>41</v>
      </c>
      <c r="I7" s="4" t="s">
        <v>100</v>
      </c>
      <c r="J7" s="4"/>
      <c r="K7" s="5"/>
      <c r="L7" s="5"/>
      <c r="M7" s="4" t="s">
        <v>58</v>
      </c>
      <c r="N7" s="4"/>
      <c r="O7" s="4"/>
      <c r="P7" s="4"/>
      <c r="Q7" s="4"/>
      <c r="R7" s="4"/>
      <c r="S7" s="4"/>
      <c r="T7" s="4"/>
      <c r="U7" s="4"/>
      <c r="V7" s="4"/>
      <c r="W7" s="4" t="s">
        <v>101</v>
      </c>
      <c r="X7" s="4"/>
      <c r="Y7" s="4" t="s">
        <v>77</v>
      </c>
      <c r="Z7" s="4" t="s">
        <v>102</v>
      </c>
      <c r="AA7" s="4" t="s">
        <v>53</v>
      </c>
      <c r="AB7" s="4" t="s">
        <v>53</v>
      </c>
      <c r="AC7" s="4" t="s">
        <v>53</v>
      </c>
      <c r="AD7" s="4" t="s">
        <v>53</v>
      </c>
      <c r="AE7" s="4" t="s">
        <v>53</v>
      </c>
      <c r="AF7" s="4" t="s">
        <v>53</v>
      </c>
      <c r="AG7" s="4" t="s">
        <v>53</v>
      </c>
      <c r="AH7" s="4" t="s">
        <v>53</v>
      </c>
      <c r="AI7" s="4" t="s">
        <v>53</v>
      </c>
    </row>
    <row r="8" customFormat="false" ht="23.85" hidden="false" customHeight="false" outlineLevel="0" collapsed="false">
      <c r="A8" s="2" t="n">
        <v>7</v>
      </c>
      <c r="B8" s="2" t="s">
        <v>35</v>
      </c>
      <c r="C8" s="2" t="s">
        <v>36</v>
      </c>
      <c r="D8" s="2" t="s">
        <v>37</v>
      </c>
      <c r="E8" s="2" t="s">
        <v>103</v>
      </c>
      <c r="F8" s="2" t="s">
        <v>104</v>
      </c>
      <c r="G8" s="2" t="s">
        <v>105</v>
      </c>
      <c r="H8" s="2" t="s">
        <v>106</v>
      </c>
      <c r="I8" s="2" t="s">
        <v>107</v>
      </c>
      <c r="J8" s="2"/>
      <c r="K8" s="3"/>
      <c r="L8" s="3"/>
      <c r="M8" s="2" t="s">
        <v>53</v>
      </c>
      <c r="N8" s="2"/>
      <c r="O8" s="2"/>
      <c r="P8" s="2"/>
      <c r="Q8" s="2"/>
      <c r="R8" s="2"/>
      <c r="S8" s="2"/>
      <c r="T8" s="2"/>
      <c r="U8" s="2"/>
      <c r="V8" s="2"/>
      <c r="W8" s="2"/>
      <c r="X8" s="2"/>
      <c r="Y8" s="2" t="s">
        <v>108</v>
      </c>
      <c r="Z8" s="2" t="s">
        <v>109</v>
      </c>
      <c r="AA8" s="2" t="s">
        <v>53</v>
      </c>
      <c r="AB8" s="2" t="s">
        <v>53</v>
      </c>
      <c r="AC8" s="2" t="s">
        <v>53</v>
      </c>
      <c r="AD8" s="2" t="s">
        <v>53</v>
      </c>
      <c r="AE8" s="2" t="s">
        <v>53</v>
      </c>
      <c r="AF8" s="2" t="s">
        <v>53</v>
      </c>
      <c r="AG8" s="2" t="s">
        <v>53</v>
      </c>
      <c r="AH8" s="2" t="s">
        <v>53</v>
      </c>
      <c r="AI8" s="2" t="s">
        <v>53</v>
      </c>
    </row>
    <row r="9" customFormat="false" ht="23.85" hidden="false" customHeight="false" outlineLevel="0" collapsed="false">
      <c r="A9" s="4" t="n">
        <v>8</v>
      </c>
      <c r="B9" s="4" t="s">
        <v>35</v>
      </c>
      <c r="C9" s="4" t="s">
        <v>36</v>
      </c>
      <c r="D9" s="4" t="s">
        <v>37</v>
      </c>
      <c r="E9" s="4" t="s">
        <v>110</v>
      </c>
      <c r="F9" s="4" t="s">
        <v>111</v>
      </c>
      <c r="G9" s="4" t="s">
        <v>112</v>
      </c>
      <c r="H9" s="4" t="s">
        <v>41</v>
      </c>
      <c r="I9" s="4" t="s">
        <v>113</v>
      </c>
      <c r="J9" s="4"/>
      <c r="K9" s="5"/>
      <c r="L9" s="5"/>
      <c r="M9" s="4" t="s">
        <v>58</v>
      </c>
      <c r="N9" s="4"/>
      <c r="O9" s="4" t="s">
        <v>114</v>
      </c>
      <c r="P9" s="4"/>
      <c r="Q9" s="4"/>
      <c r="R9" s="4" t="s">
        <v>115</v>
      </c>
      <c r="S9" s="4"/>
      <c r="T9" s="4"/>
      <c r="U9" s="4"/>
      <c r="V9" s="4"/>
      <c r="W9" s="4" t="s">
        <v>116</v>
      </c>
      <c r="X9" s="4"/>
      <c r="Y9" s="4" t="s">
        <v>108</v>
      </c>
      <c r="Z9" s="4" t="s">
        <v>117</v>
      </c>
      <c r="AA9" s="4" t="s">
        <v>53</v>
      </c>
      <c r="AB9" s="4" t="s">
        <v>52</v>
      </c>
      <c r="AC9" s="4" t="s">
        <v>53</v>
      </c>
      <c r="AD9" s="4" t="s">
        <v>53</v>
      </c>
      <c r="AE9" s="4" t="s">
        <v>52</v>
      </c>
      <c r="AF9" s="4" t="s">
        <v>53</v>
      </c>
      <c r="AG9" s="4" t="s">
        <v>53</v>
      </c>
      <c r="AH9" s="4" t="s">
        <v>53</v>
      </c>
      <c r="AI9" s="4" t="s">
        <v>53</v>
      </c>
    </row>
    <row r="10" customFormat="false" ht="23.85" hidden="false" customHeight="false" outlineLevel="0" collapsed="false">
      <c r="A10" s="2" t="n">
        <v>9</v>
      </c>
      <c r="B10" s="2" t="s">
        <v>35</v>
      </c>
      <c r="C10" s="2" t="s">
        <v>36</v>
      </c>
      <c r="D10" s="2" t="s">
        <v>37</v>
      </c>
      <c r="E10" s="2" t="s">
        <v>118</v>
      </c>
      <c r="F10" s="2" t="s">
        <v>119</v>
      </c>
      <c r="G10" s="2" t="s">
        <v>120</v>
      </c>
      <c r="H10" s="2" t="s">
        <v>121</v>
      </c>
      <c r="I10" s="2" t="s">
        <v>122</v>
      </c>
      <c r="J10" s="2"/>
      <c r="K10" s="3"/>
      <c r="L10" s="3"/>
      <c r="M10" s="2" t="s">
        <v>53</v>
      </c>
      <c r="N10" s="2"/>
      <c r="O10" s="2" t="s">
        <v>123</v>
      </c>
      <c r="P10" s="2"/>
      <c r="Q10" s="2" t="s">
        <v>124</v>
      </c>
      <c r="R10" s="2" t="s">
        <v>125</v>
      </c>
      <c r="S10" s="2"/>
      <c r="T10" s="2" t="s">
        <v>126</v>
      </c>
      <c r="U10" s="2"/>
      <c r="V10" s="2"/>
      <c r="W10" s="2"/>
      <c r="X10" s="2"/>
      <c r="Y10" s="2" t="s">
        <v>127</v>
      </c>
      <c r="Z10" s="2" t="s">
        <v>128</v>
      </c>
      <c r="AA10" s="2" t="s">
        <v>53</v>
      </c>
      <c r="AB10" s="2" t="s">
        <v>52</v>
      </c>
      <c r="AC10" s="2" t="s">
        <v>53</v>
      </c>
      <c r="AD10" s="2" t="s">
        <v>52</v>
      </c>
      <c r="AE10" s="2" t="s">
        <v>52</v>
      </c>
      <c r="AF10" s="2" t="s">
        <v>53</v>
      </c>
      <c r="AG10" s="2" t="s">
        <v>52</v>
      </c>
      <c r="AH10" s="2" t="s">
        <v>53</v>
      </c>
      <c r="AI10" s="2" t="s">
        <v>53</v>
      </c>
    </row>
    <row r="11" customFormat="false" ht="23.85" hidden="false" customHeight="false" outlineLevel="0" collapsed="false">
      <c r="A11" s="4" t="n">
        <v>10</v>
      </c>
      <c r="B11" s="4" t="s">
        <v>35</v>
      </c>
      <c r="C11" s="4" t="s">
        <v>36</v>
      </c>
      <c r="D11" s="4" t="s">
        <v>37</v>
      </c>
      <c r="E11" s="4" t="s">
        <v>129</v>
      </c>
      <c r="F11" s="4" t="s">
        <v>130</v>
      </c>
      <c r="G11" s="4" t="s">
        <v>131</v>
      </c>
      <c r="H11" s="4" t="s">
        <v>132</v>
      </c>
      <c r="I11" s="4" t="s">
        <v>133</v>
      </c>
      <c r="J11" s="4"/>
      <c r="K11" s="5"/>
      <c r="L11" s="5"/>
      <c r="M11" s="4" t="s">
        <v>53</v>
      </c>
      <c r="N11" s="4"/>
      <c r="O11" s="4" t="s">
        <v>134</v>
      </c>
      <c r="P11" s="4" t="s">
        <v>135</v>
      </c>
      <c r="Q11" s="4"/>
      <c r="R11" s="4" t="s">
        <v>136</v>
      </c>
      <c r="S11" s="4" t="s">
        <v>137</v>
      </c>
      <c r="T11" s="4"/>
      <c r="U11" s="4" t="s">
        <v>138</v>
      </c>
      <c r="V11" s="4"/>
      <c r="W11" s="4" t="s">
        <v>139</v>
      </c>
      <c r="X11" s="4"/>
      <c r="Y11" s="4" t="s">
        <v>140</v>
      </c>
      <c r="Z11" s="4" t="s">
        <v>141</v>
      </c>
      <c r="AA11" s="4" t="s">
        <v>53</v>
      </c>
      <c r="AB11" s="4" t="s">
        <v>52</v>
      </c>
      <c r="AC11" s="4" t="s">
        <v>52</v>
      </c>
      <c r="AD11" s="4" t="s">
        <v>53</v>
      </c>
      <c r="AE11" s="4" t="s">
        <v>52</v>
      </c>
      <c r="AF11" s="4" t="s">
        <v>52</v>
      </c>
      <c r="AG11" s="4" t="s">
        <v>53</v>
      </c>
      <c r="AH11" s="4" t="s">
        <v>52</v>
      </c>
      <c r="AI11" s="4" t="s">
        <v>53</v>
      </c>
    </row>
    <row r="12" customFormat="false" ht="35.05" hidden="false" customHeight="false" outlineLevel="0" collapsed="false">
      <c r="A12" s="2" t="n">
        <v>11</v>
      </c>
      <c r="B12" s="2" t="s">
        <v>35</v>
      </c>
      <c r="C12" s="2" t="s">
        <v>36</v>
      </c>
      <c r="D12" s="2" t="s">
        <v>37</v>
      </c>
      <c r="E12" s="2" t="s">
        <v>142</v>
      </c>
      <c r="F12" s="2" t="s">
        <v>143</v>
      </c>
      <c r="G12" s="2" t="s">
        <v>144</v>
      </c>
      <c r="H12" s="2" t="s">
        <v>41</v>
      </c>
      <c r="I12" s="2" t="s">
        <v>145</v>
      </c>
      <c r="J12" s="2"/>
      <c r="K12" s="3"/>
      <c r="L12" s="3"/>
      <c r="M12" s="2" t="s">
        <v>58</v>
      </c>
      <c r="N12" s="2" t="s">
        <v>146</v>
      </c>
      <c r="O12" s="2" t="s">
        <v>147</v>
      </c>
      <c r="P12" s="2"/>
      <c r="Q12" s="2" t="s">
        <v>148</v>
      </c>
      <c r="R12" s="2" t="s">
        <v>149</v>
      </c>
      <c r="S12" s="2"/>
      <c r="T12" s="2"/>
      <c r="U12" s="2" t="s">
        <v>150</v>
      </c>
      <c r="V12" s="2"/>
      <c r="W12" s="2" t="s">
        <v>151</v>
      </c>
      <c r="X12" s="2"/>
      <c r="Y12" s="2" t="s">
        <v>152</v>
      </c>
      <c r="Z12" s="2" t="s">
        <v>153</v>
      </c>
      <c r="AA12" s="2" t="s">
        <v>52</v>
      </c>
      <c r="AB12" s="2" t="s">
        <v>52</v>
      </c>
      <c r="AC12" s="2" t="s">
        <v>53</v>
      </c>
      <c r="AD12" s="2" t="s">
        <v>52</v>
      </c>
      <c r="AE12" s="2" t="s">
        <v>52</v>
      </c>
      <c r="AF12" s="2" t="s">
        <v>53</v>
      </c>
      <c r="AG12" s="2" t="s">
        <v>53</v>
      </c>
      <c r="AH12" s="2" t="s">
        <v>52</v>
      </c>
      <c r="AI12" s="2" t="s">
        <v>53</v>
      </c>
    </row>
    <row r="13" customFormat="false" ht="35.05" hidden="false" customHeight="false" outlineLevel="0" collapsed="false">
      <c r="A13" s="4" t="n">
        <v>12</v>
      </c>
      <c r="B13" s="4" t="s">
        <v>35</v>
      </c>
      <c r="C13" s="4" t="s">
        <v>36</v>
      </c>
      <c r="D13" s="4" t="s">
        <v>37</v>
      </c>
      <c r="E13" s="4" t="s">
        <v>154</v>
      </c>
      <c r="F13" s="4" t="s">
        <v>155</v>
      </c>
      <c r="G13" s="4" t="s">
        <v>144</v>
      </c>
      <c r="H13" s="4" t="s">
        <v>41</v>
      </c>
      <c r="I13" s="4" t="s">
        <v>156</v>
      </c>
      <c r="J13" s="4"/>
      <c r="K13" s="5"/>
      <c r="L13" s="5"/>
      <c r="M13" s="4" t="s">
        <v>58</v>
      </c>
      <c r="N13" s="4"/>
      <c r="O13" s="4" t="s">
        <v>157</v>
      </c>
      <c r="P13" s="4"/>
      <c r="Q13" s="4" t="s">
        <v>93</v>
      </c>
      <c r="R13" s="4" t="s">
        <v>158</v>
      </c>
      <c r="S13" s="4" t="s">
        <v>159</v>
      </c>
      <c r="T13" s="4"/>
      <c r="U13" s="4" t="s">
        <v>160</v>
      </c>
      <c r="V13" s="4"/>
      <c r="W13" s="4" t="s">
        <v>161</v>
      </c>
      <c r="X13" s="4"/>
      <c r="Y13" s="4" t="s">
        <v>152</v>
      </c>
      <c r="Z13" s="4"/>
      <c r="AA13" s="4" t="s">
        <v>53</v>
      </c>
      <c r="AB13" s="4" t="s">
        <v>52</v>
      </c>
      <c r="AC13" s="4" t="s">
        <v>53</v>
      </c>
      <c r="AD13" s="4" t="s">
        <v>52</v>
      </c>
      <c r="AE13" s="4" t="s">
        <v>52</v>
      </c>
      <c r="AF13" s="4" t="s">
        <v>52</v>
      </c>
      <c r="AG13" s="4" t="s">
        <v>53</v>
      </c>
      <c r="AH13" s="4" t="s">
        <v>52</v>
      </c>
      <c r="AI13" s="4" t="s">
        <v>53</v>
      </c>
    </row>
    <row r="14" customFormat="false" ht="35.05" hidden="false" customHeight="false" outlineLevel="0" collapsed="false">
      <c r="A14" s="2" t="n">
        <v>13</v>
      </c>
      <c r="B14" s="2" t="s">
        <v>35</v>
      </c>
      <c r="C14" s="2" t="s">
        <v>36</v>
      </c>
      <c r="D14" s="2" t="s">
        <v>37</v>
      </c>
      <c r="E14" s="2" t="s">
        <v>162</v>
      </c>
      <c r="F14" s="2" t="s">
        <v>163</v>
      </c>
      <c r="G14" s="2" t="s">
        <v>164</v>
      </c>
      <c r="H14" s="2" t="s">
        <v>41</v>
      </c>
      <c r="I14" s="2" t="s">
        <v>165</v>
      </c>
      <c r="J14" s="2"/>
      <c r="K14" s="3"/>
      <c r="L14" s="3"/>
      <c r="M14" s="2" t="s">
        <v>58</v>
      </c>
      <c r="N14" s="2"/>
      <c r="O14" s="2" t="s">
        <v>166</v>
      </c>
      <c r="P14" s="2"/>
      <c r="Q14" s="2"/>
      <c r="R14" s="2" t="s">
        <v>167</v>
      </c>
      <c r="S14" s="2"/>
      <c r="T14" s="2"/>
      <c r="U14" s="2" t="s">
        <v>168</v>
      </c>
      <c r="V14" s="2"/>
      <c r="W14" s="2" t="s">
        <v>169</v>
      </c>
      <c r="X14" s="2"/>
      <c r="Y14" s="2" t="s">
        <v>170</v>
      </c>
      <c r="Z14" s="2" t="s">
        <v>171</v>
      </c>
      <c r="AA14" s="2" t="s">
        <v>53</v>
      </c>
      <c r="AB14" s="2" t="s">
        <v>172</v>
      </c>
      <c r="AC14" s="2" t="s">
        <v>53</v>
      </c>
      <c r="AD14" s="2" t="s">
        <v>53</v>
      </c>
      <c r="AE14" s="2" t="s">
        <v>172</v>
      </c>
      <c r="AF14" s="2" t="s">
        <v>53</v>
      </c>
      <c r="AG14" s="2" t="s">
        <v>53</v>
      </c>
      <c r="AH14" s="2" t="s">
        <v>52</v>
      </c>
      <c r="AI14" s="2" t="s">
        <v>53</v>
      </c>
    </row>
    <row r="15" customFormat="false" ht="23.85" hidden="false" customHeight="false" outlineLevel="0" collapsed="false">
      <c r="A15" s="4" t="n">
        <v>14</v>
      </c>
      <c r="B15" s="4" t="s">
        <v>35</v>
      </c>
      <c r="C15" s="4" t="s">
        <v>36</v>
      </c>
      <c r="D15" s="4" t="s">
        <v>37</v>
      </c>
      <c r="E15" s="4" t="s">
        <v>173</v>
      </c>
      <c r="F15" s="4" t="s">
        <v>174</v>
      </c>
      <c r="G15" s="4" t="s">
        <v>175</v>
      </c>
      <c r="H15" s="4" t="s">
        <v>176</v>
      </c>
      <c r="I15" s="4" t="s">
        <v>177</v>
      </c>
      <c r="J15" s="4"/>
      <c r="K15" s="5"/>
      <c r="L15" s="5"/>
      <c r="M15" s="4" t="s">
        <v>53</v>
      </c>
      <c r="N15" s="4"/>
      <c r="O15" s="4"/>
      <c r="P15" s="4"/>
      <c r="Q15" s="4" t="s">
        <v>178</v>
      </c>
      <c r="R15" s="4"/>
      <c r="S15" s="4"/>
      <c r="T15" s="4" t="s">
        <v>178</v>
      </c>
      <c r="U15" s="4"/>
      <c r="V15" s="4" t="s">
        <v>179</v>
      </c>
      <c r="W15" s="4" t="s">
        <v>180</v>
      </c>
      <c r="X15" s="4"/>
      <c r="Y15" s="4" t="s">
        <v>181</v>
      </c>
      <c r="Z15" s="4" t="s">
        <v>182</v>
      </c>
      <c r="AA15" s="4" t="s">
        <v>53</v>
      </c>
      <c r="AB15" s="4" t="s">
        <v>53</v>
      </c>
      <c r="AC15" s="4" t="s">
        <v>53</v>
      </c>
      <c r="AD15" s="4" t="s">
        <v>52</v>
      </c>
      <c r="AE15" s="4" t="s">
        <v>53</v>
      </c>
      <c r="AF15" s="4" t="s">
        <v>53</v>
      </c>
      <c r="AG15" s="4" t="s">
        <v>52</v>
      </c>
      <c r="AH15" s="4" t="s">
        <v>53</v>
      </c>
      <c r="AI15" s="4" t="s">
        <v>52</v>
      </c>
    </row>
    <row r="16" customFormat="false" ht="23.85" hidden="false" customHeight="false" outlineLevel="0" collapsed="false">
      <c r="A16" s="2" t="n">
        <v>15</v>
      </c>
      <c r="B16" s="2" t="s">
        <v>35</v>
      </c>
      <c r="C16" s="2" t="s">
        <v>36</v>
      </c>
      <c r="D16" s="2" t="s">
        <v>37</v>
      </c>
      <c r="E16" s="2" t="s">
        <v>183</v>
      </c>
      <c r="F16" s="2" t="s">
        <v>184</v>
      </c>
      <c r="G16" s="2" t="s">
        <v>185</v>
      </c>
      <c r="H16" s="2" t="s">
        <v>186</v>
      </c>
      <c r="I16" s="2" t="s">
        <v>187</v>
      </c>
      <c r="J16" s="2"/>
      <c r="K16" s="3"/>
      <c r="L16" s="3"/>
      <c r="M16" s="2" t="s">
        <v>53</v>
      </c>
      <c r="N16" s="2" t="s">
        <v>13</v>
      </c>
      <c r="O16" s="2" t="s">
        <v>188</v>
      </c>
      <c r="P16" s="2"/>
      <c r="Q16" s="2" t="s">
        <v>189</v>
      </c>
      <c r="R16" s="2" t="s">
        <v>190</v>
      </c>
      <c r="S16" s="2"/>
      <c r="T16" s="2"/>
      <c r="U16" s="2"/>
      <c r="V16" s="2"/>
      <c r="W16" s="2" t="s">
        <v>191</v>
      </c>
      <c r="X16" s="2"/>
      <c r="Y16" s="2" t="s">
        <v>192</v>
      </c>
      <c r="Z16" s="2" t="s">
        <v>128</v>
      </c>
      <c r="AA16" s="2" t="s">
        <v>52</v>
      </c>
      <c r="AB16" s="2" t="s">
        <v>52</v>
      </c>
      <c r="AC16" s="2" t="s">
        <v>53</v>
      </c>
      <c r="AD16" s="2" t="s">
        <v>52</v>
      </c>
      <c r="AE16" s="2" t="s">
        <v>52</v>
      </c>
      <c r="AF16" s="2" t="s">
        <v>53</v>
      </c>
      <c r="AG16" s="2" t="s">
        <v>53</v>
      </c>
      <c r="AH16" s="2" t="s">
        <v>53</v>
      </c>
      <c r="AI16" s="2" t="s">
        <v>53</v>
      </c>
    </row>
    <row r="17" customFormat="false" ht="23.85" hidden="false" customHeight="false" outlineLevel="0" collapsed="false">
      <c r="A17" s="4" t="n">
        <v>16</v>
      </c>
      <c r="B17" s="4" t="s">
        <v>35</v>
      </c>
      <c r="C17" s="4" t="s">
        <v>36</v>
      </c>
      <c r="D17" s="4" t="s">
        <v>37</v>
      </c>
      <c r="E17" s="4" t="s">
        <v>193</v>
      </c>
      <c r="F17" s="4" t="s">
        <v>194</v>
      </c>
      <c r="G17" s="4" t="s">
        <v>195</v>
      </c>
      <c r="H17" s="4" t="s">
        <v>196</v>
      </c>
      <c r="I17" s="4" t="s">
        <v>197</v>
      </c>
      <c r="J17" s="4" t="s">
        <v>198</v>
      </c>
      <c r="K17" s="5" t="n">
        <v>3624</v>
      </c>
      <c r="L17" s="5" t="n">
        <v>3624</v>
      </c>
      <c r="M17" s="4" t="s">
        <v>53</v>
      </c>
      <c r="N17" s="4"/>
      <c r="O17" s="4"/>
      <c r="P17" s="4"/>
      <c r="Q17" s="4" t="s">
        <v>93</v>
      </c>
      <c r="R17" s="4"/>
      <c r="S17" s="4"/>
      <c r="T17" s="4"/>
      <c r="U17" s="4" t="s">
        <v>199</v>
      </c>
      <c r="V17" s="4"/>
      <c r="W17" s="4" t="s">
        <v>200</v>
      </c>
      <c r="X17" s="4"/>
      <c r="Y17" s="4" t="s">
        <v>192</v>
      </c>
      <c r="Z17" s="4" t="s">
        <v>201</v>
      </c>
      <c r="AA17" s="4" t="s">
        <v>53</v>
      </c>
      <c r="AB17" s="4" t="s">
        <v>53</v>
      </c>
      <c r="AC17" s="4" t="s">
        <v>53</v>
      </c>
      <c r="AD17" s="4" t="s">
        <v>52</v>
      </c>
      <c r="AE17" s="4" t="s">
        <v>53</v>
      </c>
      <c r="AF17" s="4" t="s">
        <v>53</v>
      </c>
      <c r="AG17" s="4" t="s">
        <v>53</v>
      </c>
      <c r="AH17" s="4" t="s">
        <v>52</v>
      </c>
      <c r="AI17" s="4" t="s">
        <v>53</v>
      </c>
    </row>
    <row r="18" customFormat="false" ht="23.85" hidden="false" customHeight="false" outlineLevel="0" collapsed="false">
      <c r="A18" s="2" t="n">
        <v>17</v>
      </c>
      <c r="B18" s="2" t="s">
        <v>35</v>
      </c>
      <c r="C18" s="2" t="s">
        <v>36</v>
      </c>
      <c r="D18" s="2" t="s">
        <v>37</v>
      </c>
      <c r="E18" s="2" t="s">
        <v>202</v>
      </c>
      <c r="F18" s="2" t="s">
        <v>203</v>
      </c>
      <c r="G18" s="2" t="s">
        <v>204</v>
      </c>
      <c r="H18" s="2" t="s">
        <v>176</v>
      </c>
      <c r="I18" s="2" t="s">
        <v>205</v>
      </c>
      <c r="J18" s="2"/>
      <c r="K18" s="3"/>
      <c r="L18" s="3"/>
      <c r="M18" s="2" t="s">
        <v>53</v>
      </c>
      <c r="N18" s="2"/>
      <c r="O18" s="2" t="s">
        <v>206</v>
      </c>
      <c r="P18" s="2"/>
      <c r="Q18" s="2"/>
      <c r="R18" s="2" t="s">
        <v>207</v>
      </c>
      <c r="S18" s="2"/>
      <c r="T18" s="2"/>
      <c r="U18" s="2"/>
      <c r="V18" s="2"/>
      <c r="W18" s="2" t="s">
        <v>208</v>
      </c>
      <c r="X18" s="2" t="s">
        <v>209</v>
      </c>
      <c r="Y18" s="2" t="s">
        <v>210</v>
      </c>
      <c r="Z18" s="2" t="s">
        <v>211</v>
      </c>
      <c r="AA18" s="2" t="s">
        <v>53</v>
      </c>
      <c r="AB18" s="2" t="s">
        <v>52</v>
      </c>
      <c r="AC18" s="2" t="s">
        <v>53</v>
      </c>
      <c r="AD18" s="2" t="s">
        <v>53</v>
      </c>
      <c r="AE18" s="2" t="s">
        <v>52</v>
      </c>
      <c r="AF18" s="2" t="s">
        <v>53</v>
      </c>
      <c r="AG18" s="2" t="s">
        <v>53</v>
      </c>
      <c r="AH18" s="2" t="s">
        <v>53</v>
      </c>
      <c r="AI18" s="2" t="s">
        <v>53</v>
      </c>
    </row>
    <row r="19" customFormat="false" ht="23.85" hidden="false" customHeight="false" outlineLevel="0" collapsed="false">
      <c r="A19" s="4" t="n">
        <v>18</v>
      </c>
      <c r="B19" s="4" t="s">
        <v>35</v>
      </c>
      <c r="C19" s="4" t="s">
        <v>36</v>
      </c>
      <c r="D19" s="4" t="s">
        <v>37</v>
      </c>
      <c r="E19" s="4" t="s">
        <v>212</v>
      </c>
      <c r="F19" s="4" t="s">
        <v>213</v>
      </c>
      <c r="G19" s="4" t="s">
        <v>214</v>
      </c>
      <c r="H19" s="4" t="s">
        <v>186</v>
      </c>
      <c r="I19" s="4" t="s">
        <v>215</v>
      </c>
      <c r="J19" s="4" t="s">
        <v>216</v>
      </c>
      <c r="K19" s="5" t="n">
        <v>3125</v>
      </c>
      <c r="L19" s="5" t="n">
        <v>4045</v>
      </c>
      <c r="M19" s="4" t="s">
        <v>53</v>
      </c>
      <c r="N19" s="4"/>
      <c r="O19" s="4"/>
      <c r="P19" s="4"/>
      <c r="Q19" s="4"/>
      <c r="R19" s="4"/>
      <c r="S19" s="4"/>
      <c r="T19" s="4"/>
      <c r="U19" s="4"/>
      <c r="V19" s="4"/>
      <c r="W19" s="4"/>
      <c r="X19" s="4"/>
      <c r="Y19" s="4" t="s">
        <v>217</v>
      </c>
      <c r="Z19" s="4" t="s">
        <v>218</v>
      </c>
      <c r="AA19" s="4" t="s">
        <v>53</v>
      </c>
      <c r="AB19" s="4" t="s">
        <v>53</v>
      </c>
      <c r="AC19" s="4" t="s">
        <v>53</v>
      </c>
      <c r="AD19" s="4" t="s">
        <v>53</v>
      </c>
      <c r="AE19" s="4" t="s">
        <v>53</v>
      </c>
      <c r="AF19" s="4" t="s">
        <v>53</v>
      </c>
      <c r="AG19" s="4" t="s">
        <v>53</v>
      </c>
      <c r="AH19" s="4" t="s">
        <v>53</v>
      </c>
      <c r="AI19" s="4" t="s">
        <v>53</v>
      </c>
    </row>
    <row r="20" customFormat="false" ht="23.85" hidden="false" customHeight="false" outlineLevel="0" collapsed="false">
      <c r="A20" s="2" t="n">
        <v>19</v>
      </c>
      <c r="B20" s="2" t="s">
        <v>35</v>
      </c>
      <c r="C20" s="2" t="s">
        <v>36</v>
      </c>
      <c r="D20" s="2" t="s">
        <v>37</v>
      </c>
      <c r="E20" s="2" t="s">
        <v>219</v>
      </c>
      <c r="F20" s="2" t="s">
        <v>220</v>
      </c>
      <c r="G20" s="2" t="s">
        <v>221</v>
      </c>
      <c r="H20" s="2" t="s">
        <v>222</v>
      </c>
      <c r="I20" s="2" t="s">
        <v>223</v>
      </c>
      <c r="J20" s="2"/>
      <c r="K20" s="3"/>
      <c r="L20" s="3"/>
      <c r="M20" s="2" t="s">
        <v>53</v>
      </c>
      <c r="N20" s="2"/>
      <c r="O20" s="2"/>
      <c r="P20" s="2" t="s">
        <v>224</v>
      </c>
      <c r="Q20" s="2"/>
      <c r="R20" s="2"/>
      <c r="S20" s="2"/>
      <c r="T20" s="2"/>
      <c r="U20" s="2" t="s">
        <v>225</v>
      </c>
      <c r="V20" s="2"/>
      <c r="W20" s="2" t="s">
        <v>226</v>
      </c>
      <c r="X20" s="2"/>
      <c r="Y20" s="2" t="s">
        <v>217</v>
      </c>
      <c r="Z20" s="2" t="s">
        <v>182</v>
      </c>
      <c r="AA20" s="2" t="s">
        <v>53</v>
      </c>
      <c r="AB20" s="2" t="s">
        <v>53</v>
      </c>
      <c r="AC20" s="2" t="s">
        <v>52</v>
      </c>
      <c r="AD20" s="2" t="s">
        <v>53</v>
      </c>
      <c r="AE20" s="2" t="s">
        <v>53</v>
      </c>
      <c r="AF20" s="2" t="s">
        <v>53</v>
      </c>
      <c r="AG20" s="2" t="s">
        <v>53</v>
      </c>
      <c r="AH20" s="2" t="s">
        <v>52</v>
      </c>
      <c r="AI20" s="2" t="s">
        <v>53</v>
      </c>
    </row>
    <row r="21" customFormat="false" ht="23.85" hidden="false" customHeight="false" outlineLevel="0" collapsed="false">
      <c r="A21" s="4" t="n">
        <v>20</v>
      </c>
      <c r="B21" s="4" t="s">
        <v>35</v>
      </c>
      <c r="C21" s="4" t="s">
        <v>36</v>
      </c>
      <c r="D21" s="4" t="s">
        <v>37</v>
      </c>
      <c r="E21" s="4" t="s">
        <v>227</v>
      </c>
      <c r="F21" s="4" t="s">
        <v>228</v>
      </c>
      <c r="G21" s="4" t="s">
        <v>229</v>
      </c>
      <c r="H21" s="4" t="s">
        <v>222</v>
      </c>
      <c r="I21" s="4" t="s">
        <v>230</v>
      </c>
      <c r="J21" s="4" t="s">
        <v>231</v>
      </c>
      <c r="K21" s="5" t="n">
        <v>4149</v>
      </c>
      <c r="L21" s="5" t="n">
        <v>4149</v>
      </c>
      <c r="M21" s="4" t="s">
        <v>53</v>
      </c>
      <c r="N21" s="4"/>
      <c r="O21" s="4" t="s">
        <v>232</v>
      </c>
      <c r="P21" s="4"/>
      <c r="Q21" s="4"/>
      <c r="R21" s="4" t="s">
        <v>233</v>
      </c>
      <c r="S21" s="4"/>
      <c r="T21" s="4"/>
      <c r="U21" s="4" t="s">
        <v>234</v>
      </c>
      <c r="V21" s="4"/>
      <c r="W21" s="4" t="s">
        <v>235</v>
      </c>
      <c r="X21" s="4"/>
      <c r="Y21" s="4" t="s">
        <v>217</v>
      </c>
      <c r="Z21" s="4"/>
      <c r="AA21" s="4" t="s">
        <v>53</v>
      </c>
      <c r="AB21" s="4" t="s">
        <v>52</v>
      </c>
      <c r="AC21" s="4" t="s">
        <v>53</v>
      </c>
      <c r="AD21" s="4" t="s">
        <v>53</v>
      </c>
      <c r="AE21" s="4" t="s">
        <v>52</v>
      </c>
      <c r="AF21" s="4" t="s">
        <v>53</v>
      </c>
      <c r="AG21" s="4" t="s">
        <v>53</v>
      </c>
      <c r="AH21" s="4" t="s">
        <v>52</v>
      </c>
      <c r="AI21" s="4" t="s">
        <v>53</v>
      </c>
    </row>
    <row r="22" customFormat="false" ht="46.25" hidden="false" customHeight="false" outlineLevel="0" collapsed="false">
      <c r="A22" s="2" t="n">
        <v>21</v>
      </c>
      <c r="B22" s="2" t="s">
        <v>35</v>
      </c>
      <c r="C22" s="2" t="s">
        <v>36</v>
      </c>
      <c r="D22" s="2" t="s">
        <v>37</v>
      </c>
      <c r="E22" s="2" t="s">
        <v>236</v>
      </c>
      <c r="F22" s="2" t="s">
        <v>237</v>
      </c>
      <c r="G22" s="2" t="s">
        <v>214</v>
      </c>
      <c r="H22" s="2" t="s">
        <v>41</v>
      </c>
      <c r="I22" s="2" t="s">
        <v>238</v>
      </c>
      <c r="J22" s="2"/>
      <c r="K22" s="3"/>
      <c r="L22" s="3"/>
      <c r="M22" s="2" t="s">
        <v>58</v>
      </c>
      <c r="N22" s="2"/>
      <c r="O22" s="2" t="s">
        <v>239</v>
      </c>
      <c r="P22" s="2" t="s">
        <v>240</v>
      </c>
      <c r="Q22" s="2"/>
      <c r="R22" s="2" t="s">
        <v>241</v>
      </c>
      <c r="S22" s="2"/>
      <c r="T22" s="2"/>
      <c r="U22" s="2"/>
      <c r="V22" s="2"/>
      <c r="W22" s="2" t="s">
        <v>242</v>
      </c>
      <c r="X22" s="2"/>
      <c r="Y22" s="2" t="s">
        <v>217</v>
      </c>
      <c r="Z22" s="2" t="s">
        <v>243</v>
      </c>
      <c r="AA22" s="2" t="s">
        <v>53</v>
      </c>
      <c r="AB22" s="2" t="s">
        <v>52</v>
      </c>
      <c r="AC22" s="2" t="s">
        <v>172</v>
      </c>
      <c r="AD22" s="2" t="s">
        <v>53</v>
      </c>
      <c r="AE22" s="2" t="s">
        <v>52</v>
      </c>
      <c r="AF22" s="2" t="s">
        <v>53</v>
      </c>
      <c r="AG22" s="2" t="s">
        <v>53</v>
      </c>
      <c r="AH22" s="2" t="s">
        <v>53</v>
      </c>
      <c r="AI22" s="2" t="s">
        <v>53</v>
      </c>
    </row>
    <row r="23" customFormat="false" ht="35.05" hidden="false" customHeight="false" outlineLevel="0" collapsed="false">
      <c r="A23" s="4" t="n">
        <v>22</v>
      </c>
      <c r="B23" s="4" t="s">
        <v>35</v>
      </c>
      <c r="C23" s="4" t="s">
        <v>36</v>
      </c>
      <c r="D23" s="4" t="s">
        <v>37</v>
      </c>
      <c r="E23" s="4" t="s">
        <v>244</v>
      </c>
      <c r="F23" s="4" t="s">
        <v>237</v>
      </c>
      <c r="G23" s="4" t="s">
        <v>214</v>
      </c>
      <c r="H23" s="4" t="s">
        <v>41</v>
      </c>
      <c r="I23" s="4" t="s">
        <v>245</v>
      </c>
      <c r="J23" s="4"/>
      <c r="K23" s="5"/>
      <c r="L23" s="5"/>
      <c r="M23" s="4" t="s">
        <v>58</v>
      </c>
      <c r="N23" s="4"/>
      <c r="O23" s="4" t="s">
        <v>246</v>
      </c>
      <c r="P23" s="4"/>
      <c r="Q23" s="4"/>
      <c r="R23" s="4" t="s">
        <v>247</v>
      </c>
      <c r="S23" s="4"/>
      <c r="T23" s="4"/>
      <c r="U23" s="4"/>
      <c r="V23" s="4"/>
      <c r="W23" s="4" t="s">
        <v>248</v>
      </c>
      <c r="X23" s="4"/>
      <c r="Y23" s="4" t="s">
        <v>217</v>
      </c>
      <c r="Z23" s="4" t="s">
        <v>109</v>
      </c>
      <c r="AA23" s="4" t="s">
        <v>53</v>
      </c>
      <c r="AB23" s="4" t="s">
        <v>52</v>
      </c>
      <c r="AC23" s="4" t="s">
        <v>53</v>
      </c>
      <c r="AD23" s="4" t="s">
        <v>53</v>
      </c>
      <c r="AE23" s="4" t="s">
        <v>52</v>
      </c>
      <c r="AF23" s="4" t="s">
        <v>53</v>
      </c>
      <c r="AG23" s="4" t="s">
        <v>53</v>
      </c>
      <c r="AH23" s="4" t="s">
        <v>53</v>
      </c>
      <c r="AI23" s="4" t="s">
        <v>53</v>
      </c>
    </row>
    <row r="24" customFormat="false" ht="35.05" hidden="false" customHeight="false" outlineLevel="0" collapsed="false">
      <c r="A24" s="2" t="n">
        <v>23</v>
      </c>
      <c r="B24" s="2" t="s">
        <v>35</v>
      </c>
      <c r="C24" s="2" t="s">
        <v>36</v>
      </c>
      <c r="D24" s="2" t="s">
        <v>37</v>
      </c>
      <c r="E24" s="2" t="s">
        <v>249</v>
      </c>
      <c r="F24" s="2" t="s">
        <v>250</v>
      </c>
      <c r="G24" s="2" t="s">
        <v>251</v>
      </c>
      <c r="H24" s="2" t="s">
        <v>41</v>
      </c>
      <c r="I24" s="2" t="s">
        <v>252</v>
      </c>
      <c r="J24" s="2"/>
      <c r="K24" s="3"/>
      <c r="L24" s="3"/>
      <c r="M24" s="2" t="s">
        <v>58</v>
      </c>
      <c r="N24" s="2"/>
      <c r="O24" s="2" t="s">
        <v>253</v>
      </c>
      <c r="P24" s="2"/>
      <c r="Q24" s="2"/>
      <c r="R24" s="2" t="s">
        <v>254</v>
      </c>
      <c r="S24" s="2" t="s">
        <v>159</v>
      </c>
      <c r="T24" s="2"/>
      <c r="U24" s="2"/>
      <c r="V24" s="2"/>
      <c r="W24" s="2" t="s">
        <v>255</v>
      </c>
      <c r="X24" s="2"/>
      <c r="Y24" s="2" t="s">
        <v>217</v>
      </c>
      <c r="Z24" s="2" t="s">
        <v>256</v>
      </c>
      <c r="AA24" s="2" t="s">
        <v>53</v>
      </c>
      <c r="AB24" s="2" t="s">
        <v>52</v>
      </c>
      <c r="AC24" s="2" t="s">
        <v>53</v>
      </c>
      <c r="AD24" s="2" t="s">
        <v>53</v>
      </c>
      <c r="AE24" s="2" t="s">
        <v>52</v>
      </c>
      <c r="AF24" s="2" t="s">
        <v>52</v>
      </c>
      <c r="AG24" s="2" t="s">
        <v>53</v>
      </c>
      <c r="AH24" s="2" t="s">
        <v>53</v>
      </c>
      <c r="AI24" s="2" t="s">
        <v>53</v>
      </c>
    </row>
    <row r="25" customFormat="false" ht="23.85" hidden="false" customHeight="false" outlineLevel="0" collapsed="false">
      <c r="A25" s="4" t="n">
        <v>24</v>
      </c>
      <c r="B25" s="4" t="s">
        <v>35</v>
      </c>
      <c r="C25" s="4" t="s">
        <v>36</v>
      </c>
      <c r="D25" s="4" t="s">
        <v>37</v>
      </c>
      <c r="E25" s="4" t="s">
        <v>257</v>
      </c>
      <c r="F25" s="4" t="s">
        <v>228</v>
      </c>
      <c r="G25" s="4" t="s">
        <v>258</v>
      </c>
      <c r="H25" s="4" t="s">
        <v>222</v>
      </c>
      <c r="I25" s="4" t="s">
        <v>259</v>
      </c>
      <c r="J25" s="4" t="s">
        <v>260</v>
      </c>
      <c r="K25" s="5" t="n">
        <v>5219</v>
      </c>
      <c r="L25" s="5" t="n">
        <v>5219</v>
      </c>
      <c r="M25" s="4" t="s">
        <v>53</v>
      </c>
      <c r="N25" s="4"/>
      <c r="O25" s="4" t="s">
        <v>232</v>
      </c>
      <c r="P25" s="4"/>
      <c r="Q25" s="4"/>
      <c r="R25" s="4" t="s">
        <v>233</v>
      </c>
      <c r="S25" s="4"/>
      <c r="T25" s="4"/>
      <c r="U25" s="4" t="s">
        <v>234</v>
      </c>
      <c r="V25" s="4"/>
      <c r="W25" s="4" t="s">
        <v>261</v>
      </c>
      <c r="X25" s="4"/>
      <c r="Y25" s="4" t="s">
        <v>217</v>
      </c>
      <c r="Z25" s="4"/>
      <c r="AA25" s="4" t="s">
        <v>53</v>
      </c>
      <c r="AB25" s="4" t="s">
        <v>52</v>
      </c>
      <c r="AC25" s="4" t="s">
        <v>53</v>
      </c>
      <c r="AD25" s="4" t="s">
        <v>53</v>
      </c>
      <c r="AE25" s="4" t="s">
        <v>52</v>
      </c>
      <c r="AF25" s="4" t="s">
        <v>53</v>
      </c>
      <c r="AG25" s="4" t="s">
        <v>53</v>
      </c>
      <c r="AH25" s="4" t="s">
        <v>52</v>
      </c>
      <c r="AI25" s="4" t="s">
        <v>53</v>
      </c>
    </row>
    <row r="26" customFormat="false" ht="23.85" hidden="false" customHeight="false" outlineLevel="0" collapsed="false">
      <c r="A26" s="2" t="n">
        <v>25</v>
      </c>
      <c r="B26" s="2" t="s">
        <v>35</v>
      </c>
      <c r="C26" s="2" t="s">
        <v>36</v>
      </c>
      <c r="D26" s="2" t="s">
        <v>37</v>
      </c>
      <c r="E26" s="2" t="s">
        <v>262</v>
      </c>
      <c r="F26" s="2" t="s">
        <v>203</v>
      </c>
      <c r="G26" s="2" t="s">
        <v>263</v>
      </c>
      <c r="H26" s="2" t="s">
        <v>186</v>
      </c>
      <c r="I26" s="2" t="s">
        <v>264</v>
      </c>
      <c r="J26" s="2"/>
      <c r="K26" s="3"/>
      <c r="L26" s="3"/>
      <c r="M26" s="2" t="s">
        <v>53</v>
      </c>
      <c r="N26" s="2"/>
      <c r="O26" s="2" t="s">
        <v>206</v>
      </c>
      <c r="P26" s="2"/>
      <c r="Q26" s="2"/>
      <c r="R26" s="2" t="s">
        <v>207</v>
      </c>
      <c r="S26" s="2"/>
      <c r="T26" s="2"/>
      <c r="U26" s="2"/>
      <c r="V26" s="2"/>
      <c r="W26" s="2" t="s">
        <v>208</v>
      </c>
      <c r="X26" s="2" t="s">
        <v>209</v>
      </c>
      <c r="Y26" s="2" t="s">
        <v>210</v>
      </c>
      <c r="Z26" s="2" t="s">
        <v>182</v>
      </c>
      <c r="AA26" s="2" t="s">
        <v>53</v>
      </c>
      <c r="AB26" s="2" t="s">
        <v>52</v>
      </c>
      <c r="AC26" s="2" t="s">
        <v>53</v>
      </c>
      <c r="AD26" s="2" t="s">
        <v>53</v>
      </c>
      <c r="AE26" s="2" t="s">
        <v>52</v>
      </c>
      <c r="AF26" s="2" t="s">
        <v>53</v>
      </c>
      <c r="AG26" s="2" t="s">
        <v>53</v>
      </c>
      <c r="AH26" s="2" t="s">
        <v>53</v>
      </c>
      <c r="AI26" s="2" t="s">
        <v>53</v>
      </c>
    </row>
    <row r="27" customFormat="false" ht="23.85" hidden="false" customHeight="false" outlineLevel="0" collapsed="false">
      <c r="A27" s="4" t="n">
        <v>26</v>
      </c>
      <c r="B27" s="4" t="s">
        <v>35</v>
      </c>
      <c r="C27" s="4" t="s">
        <v>36</v>
      </c>
      <c r="D27" s="4" t="s">
        <v>37</v>
      </c>
      <c r="E27" s="4" t="s">
        <v>265</v>
      </c>
      <c r="F27" s="4" t="s">
        <v>266</v>
      </c>
      <c r="G27" s="4" t="s">
        <v>267</v>
      </c>
      <c r="H27" s="4" t="s">
        <v>41</v>
      </c>
      <c r="I27" s="4" t="s">
        <v>268</v>
      </c>
      <c r="J27" s="4"/>
      <c r="K27" s="5"/>
      <c r="L27" s="5"/>
      <c r="M27" s="4" t="s">
        <v>58</v>
      </c>
      <c r="N27" s="4"/>
      <c r="O27" s="4" t="s">
        <v>269</v>
      </c>
      <c r="P27" s="4" t="s">
        <v>270</v>
      </c>
      <c r="Q27" s="4"/>
      <c r="R27" s="4" t="s">
        <v>271</v>
      </c>
      <c r="S27" s="4"/>
      <c r="T27" s="4"/>
      <c r="U27" s="4" t="s">
        <v>272</v>
      </c>
      <c r="V27" s="4"/>
      <c r="W27" s="4" t="s">
        <v>180</v>
      </c>
      <c r="X27" s="4"/>
      <c r="Y27" s="4" t="s">
        <v>210</v>
      </c>
      <c r="Z27" s="4" t="s">
        <v>273</v>
      </c>
      <c r="AA27" s="4" t="s">
        <v>53</v>
      </c>
      <c r="AB27" s="4" t="s">
        <v>52</v>
      </c>
      <c r="AC27" s="4" t="s">
        <v>52</v>
      </c>
      <c r="AD27" s="4" t="s">
        <v>53</v>
      </c>
      <c r="AE27" s="4" t="s">
        <v>52</v>
      </c>
      <c r="AF27" s="4" t="s">
        <v>53</v>
      </c>
      <c r="AG27" s="4" t="s">
        <v>53</v>
      </c>
      <c r="AH27" s="4" t="s">
        <v>52</v>
      </c>
      <c r="AI27" s="4" t="s">
        <v>53</v>
      </c>
    </row>
    <row r="28" customFormat="false" ht="23.85" hidden="false" customHeight="false" outlineLevel="0" collapsed="false">
      <c r="A28" s="2" t="n">
        <v>27</v>
      </c>
      <c r="B28" s="2" t="s">
        <v>35</v>
      </c>
      <c r="C28" s="2" t="s">
        <v>36</v>
      </c>
      <c r="D28" s="2" t="s">
        <v>37</v>
      </c>
      <c r="E28" s="2" t="s">
        <v>274</v>
      </c>
      <c r="F28" s="2" t="s">
        <v>275</v>
      </c>
      <c r="G28" s="2" t="s">
        <v>276</v>
      </c>
      <c r="H28" s="2" t="s">
        <v>176</v>
      </c>
      <c r="I28" s="2" t="s">
        <v>277</v>
      </c>
      <c r="J28" s="2"/>
      <c r="K28" s="3"/>
      <c r="L28" s="3"/>
      <c r="M28" s="2" t="s">
        <v>53</v>
      </c>
      <c r="N28" s="2"/>
      <c r="O28" s="2"/>
      <c r="P28" s="2"/>
      <c r="Q28" s="2" t="s">
        <v>178</v>
      </c>
      <c r="R28" s="2"/>
      <c r="S28" s="2"/>
      <c r="T28" s="2" t="s">
        <v>178</v>
      </c>
      <c r="U28" s="2"/>
      <c r="V28" s="2" t="s">
        <v>278</v>
      </c>
      <c r="W28" s="2" t="s">
        <v>180</v>
      </c>
      <c r="X28" s="2"/>
      <c r="Y28" s="2" t="s">
        <v>279</v>
      </c>
      <c r="Z28" s="2" t="s">
        <v>280</v>
      </c>
      <c r="AA28" s="2" t="s">
        <v>53</v>
      </c>
      <c r="AB28" s="2" t="s">
        <v>53</v>
      </c>
      <c r="AC28" s="2" t="s">
        <v>53</v>
      </c>
      <c r="AD28" s="2" t="s">
        <v>52</v>
      </c>
      <c r="AE28" s="2" t="s">
        <v>53</v>
      </c>
      <c r="AF28" s="2" t="s">
        <v>53</v>
      </c>
      <c r="AG28" s="2" t="s">
        <v>52</v>
      </c>
      <c r="AH28" s="2" t="s">
        <v>53</v>
      </c>
      <c r="AI28" s="2" t="s">
        <v>52</v>
      </c>
    </row>
    <row r="29" customFormat="false" ht="46.25" hidden="false" customHeight="false" outlineLevel="0" collapsed="false">
      <c r="A29" s="4" t="n">
        <v>28</v>
      </c>
      <c r="B29" s="4" t="s">
        <v>35</v>
      </c>
      <c r="C29" s="4" t="s">
        <v>36</v>
      </c>
      <c r="D29" s="4" t="s">
        <v>37</v>
      </c>
      <c r="E29" s="4" t="s">
        <v>281</v>
      </c>
      <c r="F29" s="4" t="s">
        <v>282</v>
      </c>
      <c r="G29" s="4" t="s">
        <v>283</v>
      </c>
      <c r="H29" s="4" t="s">
        <v>186</v>
      </c>
      <c r="I29" s="4" t="s">
        <v>284</v>
      </c>
      <c r="J29" s="4"/>
      <c r="K29" s="5"/>
      <c r="L29" s="5"/>
      <c r="M29" s="4" t="s">
        <v>53</v>
      </c>
      <c r="N29" s="4"/>
      <c r="O29" s="4" t="s">
        <v>285</v>
      </c>
      <c r="P29" s="4"/>
      <c r="Q29" s="4"/>
      <c r="R29" s="4" t="s">
        <v>286</v>
      </c>
      <c r="S29" s="4" t="s">
        <v>287</v>
      </c>
      <c r="T29" s="4"/>
      <c r="U29" s="4" t="s">
        <v>288</v>
      </c>
      <c r="V29" s="4"/>
      <c r="W29" s="4" t="s">
        <v>289</v>
      </c>
      <c r="X29" s="4"/>
      <c r="Y29" s="4" t="s">
        <v>290</v>
      </c>
      <c r="Z29" s="4"/>
      <c r="AA29" s="4" t="s">
        <v>53</v>
      </c>
      <c r="AB29" s="4" t="s">
        <v>52</v>
      </c>
      <c r="AC29" s="4" t="s">
        <v>53</v>
      </c>
      <c r="AD29" s="4" t="s">
        <v>53</v>
      </c>
      <c r="AE29" s="4" t="s">
        <v>52</v>
      </c>
      <c r="AF29" s="4" t="s">
        <v>52</v>
      </c>
      <c r="AG29" s="4" t="s">
        <v>53</v>
      </c>
      <c r="AH29" s="4" t="s">
        <v>52</v>
      </c>
      <c r="AI29" s="4" t="s">
        <v>53</v>
      </c>
    </row>
    <row r="30" customFormat="false" ht="35.05" hidden="false" customHeight="false" outlineLevel="0" collapsed="false">
      <c r="A30" s="2" t="n">
        <v>29</v>
      </c>
      <c r="B30" s="2" t="s">
        <v>35</v>
      </c>
      <c r="C30" s="2" t="s">
        <v>36</v>
      </c>
      <c r="D30" s="2" t="s">
        <v>37</v>
      </c>
      <c r="E30" s="2" t="s">
        <v>291</v>
      </c>
      <c r="F30" s="2" t="s">
        <v>292</v>
      </c>
      <c r="G30" s="2" t="s">
        <v>293</v>
      </c>
      <c r="H30" s="2" t="s">
        <v>186</v>
      </c>
      <c r="I30" s="2" t="s">
        <v>294</v>
      </c>
      <c r="J30" s="2"/>
      <c r="K30" s="3"/>
      <c r="L30" s="3"/>
      <c r="M30" s="2" t="s">
        <v>53</v>
      </c>
      <c r="N30" s="2" t="s">
        <v>13</v>
      </c>
      <c r="O30" s="2" t="s">
        <v>295</v>
      </c>
      <c r="P30" s="2" t="s">
        <v>296</v>
      </c>
      <c r="Q30" s="2"/>
      <c r="R30" s="2" t="s">
        <v>297</v>
      </c>
      <c r="S30" s="2"/>
      <c r="T30" s="2"/>
      <c r="U30" s="2" t="s">
        <v>298</v>
      </c>
      <c r="V30" s="2"/>
      <c r="W30" s="2" t="s">
        <v>299</v>
      </c>
      <c r="X30" s="2"/>
      <c r="Y30" s="2" t="s">
        <v>290</v>
      </c>
      <c r="Z30" s="2" t="s">
        <v>300</v>
      </c>
      <c r="AA30" s="2" t="s">
        <v>52</v>
      </c>
      <c r="AB30" s="2" t="s">
        <v>52</v>
      </c>
      <c r="AC30" s="2" t="s">
        <v>52</v>
      </c>
      <c r="AD30" s="2" t="s">
        <v>53</v>
      </c>
      <c r="AE30" s="2" t="s">
        <v>52</v>
      </c>
      <c r="AF30" s="2" t="s">
        <v>53</v>
      </c>
      <c r="AG30" s="2" t="s">
        <v>53</v>
      </c>
      <c r="AH30" s="2" t="s">
        <v>52</v>
      </c>
      <c r="AI30" s="2" t="s">
        <v>53</v>
      </c>
    </row>
    <row r="31" customFormat="false" ht="35.05" hidden="false" customHeight="false" outlineLevel="0" collapsed="false">
      <c r="A31" s="4" t="n">
        <v>30</v>
      </c>
      <c r="B31" s="4" t="s">
        <v>35</v>
      </c>
      <c r="C31" s="4" t="s">
        <v>36</v>
      </c>
      <c r="D31" s="4" t="s">
        <v>37</v>
      </c>
      <c r="E31" s="4" t="s">
        <v>301</v>
      </c>
      <c r="F31" s="4" t="s">
        <v>302</v>
      </c>
      <c r="G31" s="4" t="s">
        <v>303</v>
      </c>
      <c r="H31" s="4" t="s">
        <v>41</v>
      </c>
      <c r="I31" s="4" t="s">
        <v>304</v>
      </c>
      <c r="J31" s="4"/>
      <c r="K31" s="5"/>
      <c r="L31" s="5"/>
      <c r="M31" s="4" t="s">
        <v>58</v>
      </c>
      <c r="N31" s="4"/>
      <c r="O31" s="4" t="s">
        <v>305</v>
      </c>
      <c r="P31" s="4"/>
      <c r="Q31" s="4"/>
      <c r="R31" s="4" t="s">
        <v>306</v>
      </c>
      <c r="S31" s="4"/>
      <c r="T31" s="4"/>
      <c r="U31" s="4" t="s">
        <v>307</v>
      </c>
      <c r="V31" s="4"/>
      <c r="W31" s="4" t="s">
        <v>308</v>
      </c>
      <c r="X31" s="4"/>
      <c r="Y31" s="4" t="s">
        <v>309</v>
      </c>
      <c r="Z31" s="4" t="s">
        <v>256</v>
      </c>
      <c r="AA31" s="4" t="s">
        <v>53</v>
      </c>
      <c r="AB31" s="4" t="s">
        <v>52</v>
      </c>
      <c r="AC31" s="4" t="s">
        <v>53</v>
      </c>
      <c r="AD31" s="4" t="s">
        <v>53</v>
      </c>
      <c r="AE31" s="4" t="s">
        <v>52</v>
      </c>
      <c r="AF31" s="4" t="s">
        <v>53</v>
      </c>
      <c r="AG31" s="4" t="s">
        <v>53</v>
      </c>
      <c r="AH31" s="4" t="s">
        <v>52</v>
      </c>
      <c r="AI31" s="4" t="s">
        <v>53</v>
      </c>
    </row>
    <row r="32" customFormat="false" ht="23.85" hidden="false" customHeight="false" outlineLevel="0" collapsed="false">
      <c r="A32" s="2" t="n">
        <v>31</v>
      </c>
      <c r="B32" s="2" t="s">
        <v>35</v>
      </c>
      <c r="C32" s="2" t="s">
        <v>36</v>
      </c>
      <c r="D32" s="2" t="s">
        <v>37</v>
      </c>
      <c r="E32" s="2" t="s">
        <v>310</v>
      </c>
      <c r="F32" s="2" t="s">
        <v>311</v>
      </c>
      <c r="G32" s="2" t="s">
        <v>303</v>
      </c>
      <c r="H32" s="2" t="s">
        <v>186</v>
      </c>
      <c r="I32" s="2" t="s">
        <v>312</v>
      </c>
      <c r="J32" s="2"/>
      <c r="K32" s="3"/>
      <c r="L32" s="3"/>
      <c r="M32" s="2" t="s">
        <v>53</v>
      </c>
      <c r="N32" s="2"/>
      <c r="O32" s="2" t="s">
        <v>313</v>
      </c>
      <c r="P32" s="2"/>
      <c r="Q32" s="2"/>
      <c r="R32" s="2" t="s">
        <v>314</v>
      </c>
      <c r="S32" s="2" t="s">
        <v>315</v>
      </c>
      <c r="T32" s="2"/>
      <c r="U32" s="2" t="s">
        <v>316</v>
      </c>
      <c r="V32" s="2"/>
      <c r="W32" s="2" t="s">
        <v>317</v>
      </c>
      <c r="X32" s="2"/>
      <c r="Y32" s="2" t="s">
        <v>309</v>
      </c>
      <c r="Z32" s="2" t="s">
        <v>280</v>
      </c>
      <c r="AA32" s="2" t="s">
        <v>53</v>
      </c>
      <c r="AB32" s="2" t="s">
        <v>52</v>
      </c>
      <c r="AC32" s="2" t="s">
        <v>53</v>
      </c>
      <c r="AD32" s="2" t="s">
        <v>53</v>
      </c>
      <c r="AE32" s="2" t="s">
        <v>52</v>
      </c>
      <c r="AF32" s="2" t="s">
        <v>52</v>
      </c>
      <c r="AG32" s="2" t="s">
        <v>53</v>
      </c>
      <c r="AH32" s="2" t="s">
        <v>52</v>
      </c>
      <c r="AI32" s="2" t="s">
        <v>53</v>
      </c>
    </row>
    <row r="33" customFormat="false" ht="57.45" hidden="false" customHeight="false" outlineLevel="0" collapsed="false">
      <c r="A33" s="4" t="n">
        <v>32</v>
      </c>
      <c r="B33" s="4" t="s">
        <v>35</v>
      </c>
      <c r="C33" s="4" t="s">
        <v>36</v>
      </c>
      <c r="D33" s="4" t="s">
        <v>37</v>
      </c>
      <c r="E33" s="4" t="s">
        <v>318</v>
      </c>
      <c r="F33" s="4" t="s">
        <v>319</v>
      </c>
      <c r="G33" s="4" t="s">
        <v>320</v>
      </c>
      <c r="H33" s="4" t="s">
        <v>41</v>
      </c>
      <c r="I33" s="4" t="s">
        <v>321</v>
      </c>
      <c r="J33" s="4"/>
      <c r="K33" s="5"/>
      <c r="L33" s="5"/>
      <c r="M33" s="4" t="s">
        <v>58</v>
      </c>
      <c r="N33" s="4" t="s">
        <v>13</v>
      </c>
      <c r="O33" s="4" t="s">
        <v>322</v>
      </c>
      <c r="P33" s="4"/>
      <c r="Q33" s="4"/>
      <c r="R33" s="4" t="s">
        <v>323</v>
      </c>
      <c r="S33" s="4"/>
      <c r="T33" s="4"/>
      <c r="U33" s="4" t="s">
        <v>324</v>
      </c>
      <c r="V33" s="4"/>
      <c r="W33" s="4" t="s">
        <v>325</v>
      </c>
      <c r="X33" s="4"/>
      <c r="Y33" s="4" t="s">
        <v>326</v>
      </c>
      <c r="Z33" s="4" t="s">
        <v>327</v>
      </c>
      <c r="AA33" s="4" t="s">
        <v>52</v>
      </c>
      <c r="AB33" s="4" t="s">
        <v>52</v>
      </c>
      <c r="AC33" s="4" t="s">
        <v>53</v>
      </c>
      <c r="AD33" s="4" t="s">
        <v>53</v>
      </c>
      <c r="AE33" s="4" t="s">
        <v>52</v>
      </c>
      <c r="AF33" s="4" t="s">
        <v>53</v>
      </c>
      <c r="AG33" s="4" t="s">
        <v>53</v>
      </c>
      <c r="AH33" s="4" t="s">
        <v>52</v>
      </c>
      <c r="AI33" s="4" t="s">
        <v>53</v>
      </c>
    </row>
    <row r="34" customFormat="false" ht="23.85" hidden="false" customHeight="false" outlineLevel="0" collapsed="false">
      <c r="A34" s="2" t="n">
        <v>33</v>
      </c>
      <c r="B34" s="2" t="s">
        <v>35</v>
      </c>
      <c r="C34" s="2" t="s">
        <v>36</v>
      </c>
      <c r="D34" s="2" t="s">
        <v>37</v>
      </c>
      <c r="E34" s="2" t="s">
        <v>328</v>
      </c>
      <c r="F34" s="2" t="s">
        <v>329</v>
      </c>
      <c r="G34" s="2" t="s">
        <v>330</v>
      </c>
      <c r="H34" s="2" t="s">
        <v>222</v>
      </c>
      <c r="I34" s="2" t="s">
        <v>331</v>
      </c>
      <c r="J34" s="2" t="s">
        <v>332</v>
      </c>
      <c r="K34" s="3" t="n">
        <v>3239</v>
      </c>
      <c r="L34" s="3" t="n">
        <v>3239</v>
      </c>
      <c r="M34" s="2" t="s">
        <v>53</v>
      </c>
      <c r="N34" s="2"/>
      <c r="O34" s="2" t="s">
        <v>333</v>
      </c>
      <c r="P34" s="2"/>
      <c r="Q34" s="2"/>
      <c r="R34" s="2" t="s">
        <v>334</v>
      </c>
      <c r="S34" s="2"/>
      <c r="T34" s="2"/>
      <c r="U34" s="2"/>
      <c r="V34" s="2"/>
      <c r="W34" s="2"/>
      <c r="X34" s="2"/>
      <c r="Y34" s="2" t="s">
        <v>335</v>
      </c>
      <c r="Z34" s="2"/>
      <c r="AA34" s="2" t="s">
        <v>53</v>
      </c>
      <c r="AB34" s="2" t="s">
        <v>52</v>
      </c>
      <c r="AC34" s="2" t="s">
        <v>53</v>
      </c>
      <c r="AD34" s="2" t="s">
        <v>53</v>
      </c>
      <c r="AE34" s="2" t="s">
        <v>52</v>
      </c>
      <c r="AF34" s="2" t="s">
        <v>53</v>
      </c>
      <c r="AG34" s="2" t="s">
        <v>53</v>
      </c>
      <c r="AH34" s="2" t="s">
        <v>53</v>
      </c>
      <c r="AI34" s="2" t="s">
        <v>53</v>
      </c>
    </row>
    <row r="35" customFormat="false" ht="35.05" hidden="false" customHeight="false" outlineLevel="0" collapsed="false">
      <c r="A35" s="4" t="n">
        <v>34</v>
      </c>
      <c r="B35" s="4" t="s">
        <v>35</v>
      </c>
      <c r="C35" s="4" t="s">
        <v>36</v>
      </c>
      <c r="D35" s="4" t="s">
        <v>37</v>
      </c>
      <c r="E35" s="4" t="s">
        <v>336</v>
      </c>
      <c r="F35" s="4" t="s">
        <v>337</v>
      </c>
      <c r="G35" s="4" t="s">
        <v>330</v>
      </c>
      <c r="H35" s="4" t="s">
        <v>41</v>
      </c>
      <c r="I35" s="4" t="s">
        <v>338</v>
      </c>
      <c r="J35" s="4"/>
      <c r="K35" s="5"/>
      <c r="L35" s="5"/>
      <c r="M35" s="4" t="s">
        <v>58</v>
      </c>
      <c r="N35" s="4"/>
      <c r="O35" s="4" t="s">
        <v>339</v>
      </c>
      <c r="P35" s="4"/>
      <c r="Q35" s="4"/>
      <c r="R35" s="4" t="s">
        <v>340</v>
      </c>
      <c r="S35" s="4"/>
      <c r="T35" s="4" t="s">
        <v>341</v>
      </c>
      <c r="U35" s="4"/>
      <c r="V35" s="4"/>
      <c r="W35" s="4"/>
      <c r="X35" s="4"/>
      <c r="Y35" s="4" t="s">
        <v>335</v>
      </c>
      <c r="Z35" s="4" t="s">
        <v>342</v>
      </c>
      <c r="AA35" s="4" t="s">
        <v>53</v>
      </c>
      <c r="AB35" s="4" t="s">
        <v>52</v>
      </c>
      <c r="AC35" s="4" t="s">
        <v>53</v>
      </c>
      <c r="AD35" s="4" t="s">
        <v>53</v>
      </c>
      <c r="AE35" s="4" t="s">
        <v>52</v>
      </c>
      <c r="AF35" s="4" t="s">
        <v>53</v>
      </c>
      <c r="AG35" s="4" t="s">
        <v>52</v>
      </c>
      <c r="AH35" s="4" t="s">
        <v>53</v>
      </c>
      <c r="AI35" s="4" t="s">
        <v>53</v>
      </c>
    </row>
    <row r="36" customFormat="false" ht="23.85" hidden="false" customHeight="false" outlineLevel="0" collapsed="false">
      <c r="A36" s="2" t="n">
        <v>35</v>
      </c>
      <c r="B36" s="2" t="s">
        <v>35</v>
      </c>
      <c r="C36" s="2" t="s">
        <v>36</v>
      </c>
      <c r="D36" s="2" t="s">
        <v>37</v>
      </c>
      <c r="E36" s="2" t="s">
        <v>343</v>
      </c>
      <c r="F36" s="2" t="s">
        <v>343</v>
      </c>
      <c r="G36" s="2" t="s">
        <v>344</v>
      </c>
      <c r="H36" s="2" t="s">
        <v>41</v>
      </c>
      <c r="I36" s="2" t="s">
        <v>345</v>
      </c>
      <c r="J36" s="2"/>
      <c r="K36" s="3"/>
      <c r="L36" s="3"/>
      <c r="M36" s="2" t="s">
        <v>58</v>
      </c>
      <c r="N36" s="2"/>
      <c r="O36" s="2" t="s">
        <v>346</v>
      </c>
      <c r="P36" s="2" t="s">
        <v>347</v>
      </c>
      <c r="Q36" s="2" t="s">
        <v>348</v>
      </c>
      <c r="R36" s="2"/>
      <c r="S36" s="2"/>
      <c r="T36" s="2"/>
      <c r="U36" s="2"/>
      <c r="V36" s="2"/>
      <c r="W36" s="2" t="s">
        <v>349</v>
      </c>
      <c r="X36" s="2"/>
      <c r="Y36" s="2" t="s">
        <v>335</v>
      </c>
      <c r="Z36" s="2"/>
      <c r="AA36" s="2" t="s">
        <v>53</v>
      </c>
      <c r="AB36" s="2" t="s">
        <v>52</v>
      </c>
      <c r="AC36" s="2" t="s">
        <v>52</v>
      </c>
      <c r="AD36" s="2" t="s">
        <v>52</v>
      </c>
      <c r="AE36" s="2" t="s">
        <v>53</v>
      </c>
      <c r="AF36" s="2" t="s">
        <v>53</v>
      </c>
      <c r="AG36" s="2" t="s">
        <v>53</v>
      </c>
      <c r="AH36" s="2" t="s">
        <v>53</v>
      </c>
      <c r="AI36" s="2" t="s">
        <v>53</v>
      </c>
    </row>
    <row r="37" customFormat="false" ht="35.05" hidden="false" customHeight="false" outlineLevel="0" collapsed="false">
      <c r="A37" s="4" t="n">
        <v>36</v>
      </c>
      <c r="B37" s="4" t="s">
        <v>35</v>
      </c>
      <c r="C37" s="4" t="s">
        <v>36</v>
      </c>
      <c r="D37" s="4" t="s">
        <v>37</v>
      </c>
      <c r="E37" s="4" t="s">
        <v>350</v>
      </c>
      <c r="F37" s="4" t="s">
        <v>343</v>
      </c>
      <c r="G37" s="4" t="s">
        <v>344</v>
      </c>
      <c r="H37" s="4" t="s">
        <v>222</v>
      </c>
      <c r="I37" s="4" t="s">
        <v>351</v>
      </c>
      <c r="J37" s="4"/>
      <c r="K37" s="5"/>
      <c r="L37" s="5"/>
      <c r="M37" s="4" t="s">
        <v>53</v>
      </c>
      <c r="N37" s="4"/>
      <c r="O37" s="4" t="s">
        <v>352</v>
      </c>
      <c r="P37" s="4" t="s">
        <v>353</v>
      </c>
      <c r="Q37" s="4" t="s">
        <v>354</v>
      </c>
      <c r="R37" s="4" t="s">
        <v>355</v>
      </c>
      <c r="S37" s="4"/>
      <c r="T37" s="4"/>
      <c r="U37" s="4" t="s">
        <v>356</v>
      </c>
      <c r="V37" s="4"/>
      <c r="W37" s="4" t="s">
        <v>349</v>
      </c>
      <c r="X37" s="4"/>
      <c r="Y37" s="4" t="s">
        <v>335</v>
      </c>
      <c r="Z37" s="4"/>
      <c r="AA37" s="4" t="s">
        <v>53</v>
      </c>
      <c r="AB37" s="4" t="s">
        <v>52</v>
      </c>
      <c r="AC37" s="4" t="s">
        <v>52</v>
      </c>
      <c r="AD37" s="4" t="s">
        <v>52</v>
      </c>
      <c r="AE37" s="4" t="s">
        <v>52</v>
      </c>
      <c r="AF37" s="4" t="s">
        <v>53</v>
      </c>
      <c r="AG37" s="4" t="s">
        <v>53</v>
      </c>
      <c r="AH37" s="4" t="s">
        <v>52</v>
      </c>
      <c r="AI37" s="4" t="s">
        <v>53</v>
      </c>
    </row>
    <row r="38" customFormat="false" ht="23.85" hidden="false" customHeight="false" outlineLevel="0" collapsed="false">
      <c r="A38" s="2" t="n">
        <v>37</v>
      </c>
      <c r="B38" s="2" t="s">
        <v>35</v>
      </c>
      <c r="C38" s="2" t="s">
        <v>36</v>
      </c>
      <c r="D38" s="2" t="s">
        <v>37</v>
      </c>
      <c r="E38" s="2" t="s">
        <v>357</v>
      </c>
      <c r="F38" s="2" t="s">
        <v>358</v>
      </c>
      <c r="G38" s="2" t="s">
        <v>330</v>
      </c>
      <c r="H38" s="2" t="s">
        <v>41</v>
      </c>
      <c r="I38" s="2" t="s">
        <v>359</v>
      </c>
      <c r="J38" s="2"/>
      <c r="K38" s="3"/>
      <c r="L38" s="3"/>
      <c r="M38" s="2" t="s">
        <v>58</v>
      </c>
      <c r="N38" s="2"/>
      <c r="O38" s="2" t="s">
        <v>360</v>
      </c>
      <c r="P38" s="2"/>
      <c r="Q38" s="2"/>
      <c r="R38" s="2" t="s">
        <v>361</v>
      </c>
      <c r="S38" s="2"/>
      <c r="T38" s="2"/>
      <c r="U38" s="2"/>
      <c r="V38" s="2"/>
      <c r="W38" s="2" t="s">
        <v>362</v>
      </c>
      <c r="X38" s="2"/>
      <c r="Y38" s="2" t="s">
        <v>335</v>
      </c>
      <c r="Z38" s="2"/>
      <c r="AA38" s="2" t="s">
        <v>53</v>
      </c>
      <c r="AB38" s="2" t="s">
        <v>52</v>
      </c>
      <c r="AC38" s="2" t="s">
        <v>53</v>
      </c>
      <c r="AD38" s="2" t="s">
        <v>53</v>
      </c>
      <c r="AE38" s="2" t="s">
        <v>52</v>
      </c>
      <c r="AF38" s="2" t="s">
        <v>53</v>
      </c>
      <c r="AG38" s="2" t="s">
        <v>53</v>
      </c>
      <c r="AH38" s="2" t="s">
        <v>53</v>
      </c>
      <c r="AI38" s="2" t="s">
        <v>53</v>
      </c>
    </row>
    <row r="39" customFormat="false" ht="23.85" hidden="false" customHeight="false" outlineLevel="0" collapsed="false">
      <c r="A39" s="4" t="n">
        <v>38</v>
      </c>
      <c r="B39" s="4" t="s">
        <v>35</v>
      </c>
      <c r="C39" s="4" t="s">
        <v>36</v>
      </c>
      <c r="D39" s="4" t="s">
        <v>37</v>
      </c>
      <c r="E39" s="4" t="s">
        <v>363</v>
      </c>
      <c r="F39" s="4" t="s">
        <v>364</v>
      </c>
      <c r="G39" s="4" t="s">
        <v>365</v>
      </c>
      <c r="H39" s="4" t="s">
        <v>41</v>
      </c>
      <c r="I39" s="4" t="s">
        <v>366</v>
      </c>
      <c r="J39" s="4"/>
      <c r="K39" s="5"/>
      <c r="L39" s="5"/>
      <c r="M39" s="4" t="s">
        <v>58</v>
      </c>
      <c r="N39" s="4"/>
      <c r="O39" s="4" t="s">
        <v>367</v>
      </c>
      <c r="P39" s="4"/>
      <c r="Q39" s="4"/>
      <c r="R39" s="4" t="s">
        <v>368</v>
      </c>
      <c r="S39" s="4"/>
      <c r="T39" s="4"/>
      <c r="U39" s="4"/>
      <c r="V39" s="4"/>
      <c r="W39" s="4"/>
      <c r="X39" s="4"/>
      <c r="Y39" s="4" t="s">
        <v>369</v>
      </c>
      <c r="Z39" s="4" t="s">
        <v>370</v>
      </c>
      <c r="AA39" s="4" t="s">
        <v>53</v>
      </c>
      <c r="AB39" s="4" t="s">
        <v>52</v>
      </c>
      <c r="AC39" s="4" t="s">
        <v>53</v>
      </c>
      <c r="AD39" s="4" t="s">
        <v>53</v>
      </c>
      <c r="AE39" s="4" t="s">
        <v>52</v>
      </c>
      <c r="AF39" s="4" t="s">
        <v>53</v>
      </c>
      <c r="AG39" s="4" t="s">
        <v>53</v>
      </c>
      <c r="AH39" s="4" t="s">
        <v>53</v>
      </c>
      <c r="AI39" s="4" t="s">
        <v>53</v>
      </c>
    </row>
    <row r="40" customFormat="false" ht="35.05" hidden="false" customHeight="false" outlineLevel="0" collapsed="false">
      <c r="A40" s="2" t="n">
        <v>39</v>
      </c>
      <c r="B40" s="2" t="s">
        <v>35</v>
      </c>
      <c r="C40" s="2" t="s">
        <v>36</v>
      </c>
      <c r="D40" s="2" t="s">
        <v>37</v>
      </c>
      <c r="E40" s="2" t="s">
        <v>371</v>
      </c>
      <c r="F40" s="2" t="s">
        <v>372</v>
      </c>
      <c r="G40" s="2" t="s">
        <v>373</v>
      </c>
      <c r="H40" s="2" t="s">
        <v>41</v>
      </c>
      <c r="I40" s="2" t="s">
        <v>374</v>
      </c>
      <c r="J40" s="2"/>
      <c r="K40" s="3"/>
      <c r="L40" s="3"/>
      <c r="M40" s="2" t="s">
        <v>58</v>
      </c>
      <c r="N40" s="2" t="s">
        <v>13</v>
      </c>
      <c r="O40" s="2" t="s">
        <v>375</v>
      </c>
      <c r="P40" s="2"/>
      <c r="Q40" s="2"/>
      <c r="R40" s="2"/>
      <c r="S40" s="2"/>
      <c r="T40" s="2"/>
      <c r="U40" s="2" t="s">
        <v>376</v>
      </c>
      <c r="V40" s="2"/>
      <c r="W40" s="2" t="s">
        <v>377</v>
      </c>
      <c r="X40" s="2"/>
      <c r="Y40" s="2" t="s">
        <v>369</v>
      </c>
      <c r="Z40" s="2" t="s">
        <v>378</v>
      </c>
      <c r="AA40" s="2" t="s">
        <v>52</v>
      </c>
      <c r="AB40" s="2" t="s">
        <v>52</v>
      </c>
      <c r="AC40" s="2" t="s">
        <v>53</v>
      </c>
      <c r="AD40" s="2" t="s">
        <v>53</v>
      </c>
      <c r="AE40" s="2" t="s">
        <v>53</v>
      </c>
      <c r="AF40" s="2" t="s">
        <v>53</v>
      </c>
      <c r="AG40" s="2" t="s">
        <v>53</v>
      </c>
      <c r="AH40" s="2" t="s">
        <v>52</v>
      </c>
      <c r="AI40" s="2" t="s">
        <v>53</v>
      </c>
    </row>
    <row r="41" customFormat="false" ht="35.05" hidden="false" customHeight="false" outlineLevel="0" collapsed="false">
      <c r="A41" s="4" t="n">
        <v>40</v>
      </c>
      <c r="B41" s="4" t="s">
        <v>35</v>
      </c>
      <c r="C41" s="4" t="s">
        <v>36</v>
      </c>
      <c r="D41" s="4" t="s">
        <v>37</v>
      </c>
      <c r="E41" s="4" t="s">
        <v>379</v>
      </c>
      <c r="F41" s="4" t="s">
        <v>380</v>
      </c>
      <c r="G41" s="4" t="s">
        <v>381</v>
      </c>
      <c r="H41" s="4" t="s">
        <v>186</v>
      </c>
      <c r="I41" s="4" t="s">
        <v>382</v>
      </c>
      <c r="J41" s="4" t="s">
        <v>383</v>
      </c>
      <c r="K41" s="5" t="n">
        <v>804</v>
      </c>
      <c r="L41" s="5" t="n">
        <v>1823</v>
      </c>
      <c r="M41" s="4" t="s">
        <v>53</v>
      </c>
      <c r="N41" s="4"/>
      <c r="O41" s="4" t="s">
        <v>384</v>
      </c>
      <c r="P41" s="4"/>
      <c r="Q41" s="4"/>
      <c r="R41" s="4" t="s">
        <v>385</v>
      </c>
      <c r="S41" s="4"/>
      <c r="T41" s="4"/>
      <c r="U41" s="4" t="s">
        <v>386</v>
      </c>
      <c r="V41" s="4"/>
      <c r="W41" s="4" t="s">
        <v>387</v>
      </c>
      <c r="X41" s="4"/>
      <c r="Y41" s="4" t="s">
        <v>369</v>
      </c>
      <c r="Z41" s="4" t="s">
        <v>388</v>
      </c>
      <c r="AA41" s="4" t="s">
        <v>53</v>
      </c>
      <c r="AB41" s="4" t="s">
        <v>52</v>
      </c>
      <c r="AC41" s="4" t="s">
        <v>53</v>
      </c>
      <c r="AD41" s="4" t="s">
        <v>53</v>
      </c>
      <c r="AE41" s="4" t="s">
        <v>52</v>
      </c>
      <c r="AF41" s="4" t="s">
        <v>53</v>
      </c>
      <c r="AG41" s="4" t="s">
        <v>53</v>
      </c>
      <c r="AH41" s="4" t="s">
        <v>52</v>
      </c>
      <c r="AI41" s="4" t="s">
        <v>53</v>
      </c>
    </row>
    <row r="42" customFormat="false" ht="23.85" hidden="false" customHeight="false" outlineLevel="0" collapsed="false">
      <c r="A42" s="2" t="n">
        <v>41</v>
      </c>
      <c r="B42" s="2" t="s">
        <v>35</v>
      </c>
      <c r="C42" s="2" t="s">
        <v>36</v>
      </c>
      <c r="D42" s="2" t="s">
        <v>37</v>
      </c>
      <c r="E42" s="2" t="s">
        <v>389</v>
      </c>
      <c r="F42" s="2" t="s">
        <v>389</v>
      </c>
      <c r="G42" s="2" t="s">
        <v>390</v>
      </c>
      <c r="H42" s="2" t="s">
        <v>41</v>
      </c>
      <c r="I42" s="2" t="s">
        <v>391</v>
      </c>
      <c r="J42" s="2"/>
      <c r="K42" s="3"/>
      <c r="L42" s="3"/>
      <c r="M42" s="2" t="s">
        <v>58</v>
      </c>
      <c r="N42" s="2"/>
      <c r="O42" s="2" t="s">
        <v>392</v>
      </c>
      <c r="P42" s="2" t="s">
        <v>393</v>
      </c>
      <c r="Q42" s="2" t="s">
        <v>393</v>
      </c>
      <c r="R42" s="2" t="s">
        <v>394</v>
      </c>
      <c r="S42" s="2" t="s">
        <v>395</v>
      </c>
      <c r="T42" s="2" t="s">
        <v>396</v>
      </c>
      <c r="U42" s="2" t="s">
        <v>397</v>
      </c>
      <c r="V42" s="2"/>
      <c r="W42" s="2" t="s">
        <v>398</v>
      </c>
      <c r="X42" s="2"/>
      <c r="Y42" s="2" t="s">
        <v>399</v>
      </c>
      <c r="Z42" s="2" t="s">
        <v>117</v>
      </c>
      <c r="AA42" s="2" t="s">
        <v>53</v>
      </c>
      <c r="AB42" s="2" t="s">
        <v>52</v>
      </c>
      <c r="AC42" s="2" t="s">
        <v>172</v>
      </c>
      <c r="AD42" s="2" t="s">
        <v>172</v>
      </c>
      <c r="AE42" s="2" t="s">
        <v>52</v>
      </c>
      <c r="AF42" s="2" t="s">
        <v>172</v>
      </c>
      <c r="AG42" s="2" t="s">
        <v>52</v>
      </c>
      <c r="AH42" s="2" t="s">
        <v>172</v>
      </c>
      <c r="AI42" s="2" t="s">
        <v>53</v>
      </c>
    </row>
    <row r="43" customFormat="false" ht="23.85" hidden="false" customHeight="false" outlineLevel="0" collapsed="false">
      <c r="A43" s="4" t="n">
        <v>42</v>
      </c>
      <c r="B43" s="4" t="s">
        <v>35</v>
      </c>
      <c r="C43" s="4" t="s">
        <v>36</v>
      </c>
      <c r="D43" s="4" t="s">
        <v>37</v>
      </c>
      <c r="E43" s="4" t="s">
        <v>400</v>
      </c>
      <c r="F43" s="4" t="s">
        <v>401</v>
      </c>
      <c r="G43" s="4" t="s">
        <v>402</v>
      </c>
      <c r="H43" s="4" t="s">
        <v>186</v>
      </c>
      <c r="I43" s="4" t="s">
        <v>345</v>
      </c>
      <c r="J43" s="4" t="s">
        <v>403</v>
      </c>
      <c r="K43" s="5" t="n">
        <v>3025</v>
      </c>
      <c r="L43" s="5" t="n">
        <v>3025</v>
      </c>
      <c r="M43" s="4" t="s">
        <v>53</v>
      </c>
      <c r="N43" s="4"/>
      <c r="O43" s="4" t="s">
        <v>404</v>
      </c>
      <c r="P43" s="4"/>
      <c r="Q43" s="4" t="s">
        <v>405</v>
      </c>
      <c r="R43" s="4" t="s">
        <v>406</v>
      </c>
      <c r="S43" s="4"/>
      <c r="T43" s="4" t="s">
        <v>407</v>
      </c>
      <c r="U43" s="4" t="s">
        <v>234</v>
      </c>
      <c r="V43" s="4"/>
      <c r="W43" s="4" t="s">
        <v>408</v>
      </c>
      <c r="X43" s="4"/>
      <c r="Y43" s="4" t="s">
        <v>399</v>
      </c>
      <c r="Z43" s="4" t="s">
        <v>66</v>
      </c>
      <c r="AA43" s="4" t="s">
        <v>53</v>
      </c>
      <c r="AB43" s="4" t="s">
        <v>52</v>
      </c>
      <c r="AC43" s="4" t="s">
        <v>53</v>
      </c>
      <c r="AD43" s="4" t="s">
        <v>52</v>
      </c>
      <c r="AE43" s="4" t="s">
        <v>52</v>
      </c>
      <c r="AF43" s="4" t="s">
        <v>53</v>
      </c>
      <c r="AG43" s="4" t="s">
        <v>52</v>
      </c>
      <c r="AH43" s="4" t="s">
        <v>52</v>
      </c>
      <c r="AI43" s="4" t="s">
        <v>53</v>
      </c>
    </row>
    <row r="44" customFormat="false" ht="57.45" hidden="false" customHeight="false" outlineLevel="0" collapsed="false">
      <c r="A44" s="2" t="n">
        <v>43</v>
      </c>
      <c r="B44" s="2" t="s">
        <v>35</v>
      </c>
      <c r="C44" s="2" t="s">
        <v>36</v>
      </c>
      <c r="D44" s="2" t="s">
        <v>37</v>
      </c>
      <c r="E44" s="2" t="s">
        <v>409</v>
      </c>
      <c r="F44" s="2" t="s">
        <v>410</v>
      </c>
      <c r="G44" s="2" t="s">
        <v>411</v>
      </c>
      <c r="H44" s="2" t="s">
        <v>41</v>
      </c>
      <c r="I44" s="2" t="s">
        <v>412</v>
      </c>
      <c r="J44" s="2"/>
      <c r="K44" s="3"/>
      <c r="L44" s="3"/>
      <c r="M44" s="2" t="s">
        <v>58</v>
      </c>
      <c r="N44" s="2" t="s">
        <v>146</v>
      </c>
      <c r="O44" s="2" t="s">
        <v>413</v>
      </c>
      <c r="P44" s="2"/>
      <c r="Q44" s="2" t="s">
        <v>414</v>
      </c>
      <c r="R44" s="2" t="s">
        <v>415</v>
      </c>
      <c r="S44" s="2" t="s">
        <v>416</v>
      </c>
      <c r="T44" s="2"/>
      <c r="U44" s="2" t="s">
        <v>417</v>
      </c>
      <c r="V44" s="2"/>
      <c r="W44" s="2" t="s">
        <v>418</v>
      </c>
      <c r="X44" s="2"/>
      <c r="Y44" s="2" t="s">
        <v>419</v>
      </c>
      <c r="Z44" s="2" t="s">
        <v>78</v>
      </c>
      <c r="AA44" s="2" t="s">
        <v>52</v>
      </c>
      <c r="AB44" s="2" t="s">
        <v>52</v>
      </c>
      <c r="AC44" s="2" t="s">
        <v>53</v>
      </c>
      <c r="AD44" s="2" t="s">
        <v>52</v>
      </c>
      <c r="AE44" s="2" t="s">
        <v>52</v>
      </c>
      <c r="AF44" s="2" t="s">
        <v>52</v>
      </c>
      <c r="AG44" s="2" t="s">
        <v>53</v>
      </c>
      <c r="AH44" s="2" t="s">
        <v>52</v>
      </c>
      <c r="AI44" s="2" t="s">
        <v>53</v>
      </c>
    </row>
    <row r="45" customFormat="false" ht="23.85" hidden="false" customHeight="false" outlineLevel="0" collapsed="false">
      <c r="A45" s="4" t="n">
        <v>44</v>
      </c>
      <c r="B45" s="4" t="s">
        <v>35</v>
      </c>
      <c r="C45" s="4" t="s">
        <v>36</v>
      </c>
      <c r="D45" s="4" t="s">
        <v>37</v>
      </c>
      <c r="E45" s="4" t="s">
        <v>420</v>
      </c>
      <c r="F45" s="4" t="s">
        <v>421</v>
      </c>
      <c r="G45" s="4" t="s">
        <v>422</v>
      </c>
      <c r="H45" s="4" t="s">
        <v>41</v>
      </c>
      <c r="I45" s="4" t="s">
        <v>423</v>
      </c>
      <c r="J45" s="4" t="s">
        <v>424</v>
      </c>
      <c r="K45" s="5" t="n">
        <v>2950</v>
      </c>
      <c r="L45" s="5" t="n">
        <v>2950</v>
      </c>
      <c r="M45" s="4" t="s">
        <v>58</v>
      </c>
      <c r="N45" s="4"/>
      <c r="O45" s="4" t="s">
        <v>425</v>
      </c>
      <c r="P45" s="4"/>
      <c r="Q45" s="4"/>
      <c r="R45" s="4" t="s">
        <v>426</v>
      </c>
      <c r="S45" s="4"/>
      <c r="T45" s="4"/>
      <c r="U45" s="4" t="s">
        <v>427</v>
      </c>
      <c r="V45" s="4"/>
      <c r="W45" s="4" t="s">
        <v>428</v>
      </c>
      <c r="X45" s="4"/>
      <c r="Y45" s="4" t="s">
        <v>429</v>
      </c>
      <c r="Z45" s="4"/>
      <c r="AA45" s="4" t="s">
        <v>53</v>
      </c>
      <c r="AB45" s="4" t="s">
        <v>52</v>
      </c>
      <c r="AC45" s="4" t="s">
        <v>53</v>
      </c>
      <c r="AD45" s="4" t="s">
        <v>53</v>
      </c>
      <c r="AE45" s="4" t="s">
        <v>52</v>
      </c>
      <c r="AF45" s="4" t="s">
        <v>53</v>
      </c>
      <c r="AG45" s="4" t="s">
        <v>53</v>
      </c>
      <c r="AH45" s="4" t="s">
        <v>52</v>
      </c>
      <c r="AI45" s="4" t="s">
        <v>53</v>
      </c>
    </row>
    <row r="46" customFormat="false" ht="35.05" hidden="false" customHeight="false" outlineLevel="0" collapsed="false">
      <c r="A46" s="2" t="n">
        <v>45</v>
      </c>
      <c r="B46" s="2" t="s">
        <v>35</v>
      </c>
      <c r="C46" s="2" t="s">
        <v>36</v>
      </c>
      <c r="D46" s="2" t="s">
        <v>37</v>
      </c>
      <c r="E46" s="2" t="s">
        <v>430</v>
      </c>
      <c r="F46" s="2" t="s">
        <v>203</v>
      </c>
      <c r="G46" s="2" t="s">
        <v>431</v>
      </c>
      <c r="H46" s="2" t="s">
        <v>186</v>
      </c>
      <c r="I46" s="2" t="s">
        <v>432</v>
      </c>
      <c r="J46" s="2"/>
      <c r="K46" s="3"/>
      <c r="L46" s="3"/>
      <c r="M46" s="2" t="s">
        <v>53</v>
      </c>
      <c r="N46" s="2"/>
      <c r="O46" s="2" t="s">
        <v>433</v>
      </c>
      <c r="P46" s="2"/>
      <c r="Q46" s="2"/>
      <c r="R46" s="2" t="s">
        <v>434</v>
      </c>
      <c r="S46" s="2"/>
      <c r="T46" s="2"/>
      <c r="U46" s="2"/>
      <c r="V46" s="2"/>
      <c r="W46" s="2" t="s">
        <v>208</v>
      </c>
      <c r="X46" s="2"/>
      <c r="Y46" s="2" t="s">
        <v>435</v>
      </c>
      <c r="Z46" s="2" t="s">
        <v>436</v>
      </c>
      <c r="AA46" s="2" t="s">
        <v>53</v>
      </c>
      <c r="AB46" s="2" t="s">
        <v>52</v>
      </c>
      <c r="AC46" s="2" t="s">
        <v>53</v>
      </c>
      <c r="AD46" s="2" t="s">
        <v>53</v>
      </c>
      <c r="AE46" s="2" t="s">
        <v>52</v>
      </c>
      <c r="AF46" s="2" t="s">
        <v>53</v>
      </c>
      <c r="AG46" s="2" t="s">
        <v>53</v>
      </c>
      <c r="AH46" s="2" t="s">
        <v>53</v>
      </c>
      <c r="AI46" s="2" t="s">
        <v>53</v>
      </c>
    </row>
    <row r="47" customFormat="false" ht="35.05" hidden="false" customHeight="false" outlineLevel="0" collapsed="false">
      <c r="A47" s="4" t="n">
        <v>46</v>
      </c>
      <c r="B47" s="4" t="s">
        <v>35</v>
      </c>
      <c r="C47" s="4" t="s">
        <v>36</v>
      </c>
      <c r="D47" s="4" t="s">
        <v>37</v>
      </c>
      <c r="E47" s="4" t="s">
        <v>437</v>
      </c>
      <c r="F47" s="4" t="s">
        <v>203</v>
      </c>
      <c r="G47" s="4" t="s">
        <v>438</v>
      </c>
      <c r="H47" s="4" t="s">
        <v>186</v>
      </c>
      <c r="I47" s="4" t="s">
        <v>366</v>
      </c>
      <c r="J47" s="4"/>
      <c r="K47" s="5"/>
      <c r="L47" s="5"/>
      <c r="M47" s="4" t="s">
        <v>53</v>
      </c>
      <c r="N47" s="4"/>
      <c r="O47" s="4" t="s">
        <v>433</v>
      </c>
      <c r="P47" s="4"/>
      <c r="Q47" s="4"/>
      <c r="R47" s="4" t="s">
        <v>434</v>
      </c>
      <c r="S47" s="4"/>
      <c r="T47" s="4"/>
      <c r="U47" s="4"/>
      <c r="V47" s="4"/>
      <c r="W47" s="4" t="s">
        <v>208</v>
      </c>
      <c r="X47" s="4"/>
      <c r="Y47" s="4" t="s">
        <v>439</v>
      </c>
      <c r="Z47" s="4" t="s">
        <v>440</v>
      </c>
      <c r="AA47" s="4" t="s">
        <v>53</v>
      </c>
      <c r="AB47" s="4" t="s">
        <v>52</v>
      </c>
      <c r="AC47" s="4" t="s">
        <v>53</v>
      </c>
      <c r="AD47" s="4" t="s">
        <v>53</v>
      </c>
      <c r="AE47" s="4" t="s">
        <v>52</v>
      </c>
      <c r="AF47" s="4" t="s">
        <v>53</v>
      </c>
      <c r="AG47" s="4" t="s">
        <v>53</v>
      </c>
      <c r="AH47" s="4" t="s">
        <v>53</v>
      </c>
      <c r="AI47" s="4" t="s">
        <v>53</v>
      </c>
    </row>
    <row r="48" customFormat="false" ht="23.85" hidden="false" customHeight="false" outlineLevel="0" collapsed="false">
      <c r="A48" s="2" t="n">
        <v>47</v>
      </c>
      <c r="B48" s="2" t="s">
        <v>35</v>
      </c>
      <c r="C48" s="2" t="s">
        <v>36</v>
      </c>
      <c r="D48" s="2" t="s">
        <v>37</v>
      </c>
      <c r="E48" s="2" t="s">
        <v>441</v>
      </c>
      <c r="F48" s="2" t="s">
        <v>442</v>
      </c>
      <c r="G48" s="2" t="s">
        <v>443</v>
      </c>
      <c r="H48" s="2" t="s">
        <v>186</v>
      </c>
      <c r="I48" s="2" t="s">
        <v>444</v>
      </c>
      <c r="J48" s="2"/>
      <c r="K48" s="3"/>
      <c r="L48" s="3"/>
      <c r="M48" s="2" t="s">
        <v>53</v>
      </c>
      <c r="N48" s="2" t="s">
        <v>13</v>
      </c>
      <c r="O48" s="2"/>
      <c r="P48" s="2"/>
      <c r="Q48" s="2"/>
      <c r="R48" s="2"/>
      <c r="S48" s="2"/>
      <c r="T48" s="2"/>
      <c r="U48" s="2" t="s">
        <v>445</v>
      </c>
      <c r="V48" s="2"/>
      <c r="W48" s="2" t="s">
        <v>139</v>
      </c>
      <c r="X48" s="2"/>
      <c r="Y48" s="2" t="s">
        <v>446</v>
      </c>
      <c r="Z48" s="2" t="s">
        <v>447</v>
      </c>
      <c r="AA48" s="2" t="s">
        <v>52</v>
      </c>
      <c r="AB48" s="2" t="s">
        <v>53</v>
      </c>
      <c r="AC48" s="2" t="s">
        <v>53</v>
      </c>
      <c r="AD48" s="2" t="s">
        <v>53</v>
      </c>
      <c r="AE48" s="2" t="s">
        <v>53</v>
      </c>
      <c r="AF48" s="2" t="s">
        <v>53</v>
      </c>
      <c r="AG48" s="2" t="s">
        <v>53</v>
      </c>
      <c r="AH48" s="2" t="s">
        <v>52</v>
      </c>
      <c r="AI48" s="2" t="s">
        <v>53</v>
      </c>
    </row>
    <row r="49" customFormat="false" ht="23.85" hidden="false" customHeight="false" outlineLevel="0" collapsed="false">
      <c r="A49" s="4" t="n">
        <v>48</v>
      </c>
      <c r="B49" s="4" t="s">
        <v>35</v>
      </c>
      <c r="C49" s="4" t="s">
        <v>36</v>
      </c>
      <c r="D49" s="4" t="s">
        <v>37</v>
      </c>
      <c r="E49" s="4" t="s">
        <v>448</v>
      </c>
      <c r="F49" s="4" t="s">
        <v>449</v>
      </c>
      <c r="G49" s="4" t="s">
        <v>450</v>
      </c>
      <c r="H49" s="4" t="s">
        <v>186</v>
      </c>
      <c r="I49" s="4" t="s">
        <v>451</v>
      </c>
      <c r="J49" s="4"/>
      <c r="K49" s="5"/>
      <c r="L49" s="5"/>
      <c r="M49" s="4" t="s">
        <v>53</v>
      </c>
      <c r="N49" s="4"/>
      <c r="O49" s="4"/>
      <c r="P49" s="4"/>
      <c r="Q49" s="4"/>
      <c r="R49" s="4"/>
      <c r="S49" s="4"/>
      <c r="T49" s="4"/>
      <c r="U49" s="4"/>
      <c r="V49" s="4"/>
      <c r="W49" s="4" t="s">
        <v>139</v>
      </c>
      <c r="X49" s="4"/>
      <c r="Y49" s="4" t="s">
        <v>446</v>
      </c>
      <c r="Z49" s="4" t="s">
        <v>256</v>
      </c>
      <c r="AA49" s="4" t="s">
        <v>53</v>
      </c>
      <c r="AB49" s="4" t="s">
        <v>53</v>
      </c>
      <c r="AC49" s="4" t="s">
        <v>53</v>
      </c>
      <c r="AD49" s="4" t="s">
        <v>53</v>
      </c>
      <c r="AE49" s="4" t="s">
        <v>53</v>
      </c>
      <c r="AF49" s="4" t="s">
        <v>53</v>
      </c>
      <c r="AG49" s="4" t="s">
        <v>53</v>
      </c>
      <c r="AH49" s="4" t="s">
        <v>53</v>
      </c>
      <c r="AI49" s="4" t="s">
        <v>53</v>
      </c>
    </row>
    <row r="50" customFormat="false" ht="23.85" hidden="false" customHeight="false" outlineLevel="0" collapsed="false">
      <c r="A50" s="2" t="n">
        <v>49</v>
      </c>
      <c r="B50" s="2" t="s">
        <v>35</v>
      </c>
      <c r="C50" s="2" t="s">
        <v>36</v>
      </c>
      <c r="D50" s="2" t="s">
        <v>37</v>
      </c>
      <c r="E50" s="2" t="s">
        <v>452</v>
      </c>
      <c r="F50" s="2" t="s">
        <v>453</v>
      </c>
      <c r="G50" s="2" t="s">
        <v>454</v>
      </c>
      <c r="H50" s="2" t="s">
        <v>41</v>
      </c>
      <c r="I50" s="2" t="s">
        <v>455</v>
      </c>
      <c r="J50" s="2" t="s">
        <v>456</v>
      </c>
      <c r="K50" s="3"/>
      <c r="L50" s="3"/>
      <c r="M50" s="2" t="s">
        <v>44</v>
      </c>
      <c r="N50" s="2" t="s">
        <v>13</v>
      </c>
      <c r="O50" s="2"/>
      <c r="P50" s="2"/>
      <c r="Q50" s="2"/>
      <c r="R50" s="2"/>
      <c r="S50" s="2"/>
      <c r="T50" s="2" t="s">
        <v>457</v>
      </c>
      <c r="U50" s="2" t="s">
        <v>458</v>
      </c>
      <c r="V50" s="2"/>
      <c r="W50" s="2" t="s">
        <v>459</v>
      </c>
      <c r="X50" s="2"/>
      <c r="Y50" s="2" t="s">
        <v>460</v>
      </c>
      <c r="Z50" s="2" t="s">
        <v>461</v>
      </c>
      <c r="AA50" s="2" t="s">
        <v>52</v>
      </c>
      <c r="AB50" s="2" t="s">
        <v>53</v>
      </c>
      <c r="AC50" s="2" t="s">
        <v>53</v>
      </c>
      <c r="AD50" s="2" t="s">
        <v>53</v>
      </c>
      <c r="AE50" s="2" t="s">
        <v>53</v>
      </c>
      <c r="AF50" s="2" t="s">
        <v>53</v>
      </c>
      <c r="AG50" s="2" t="s">
        <v>52</v>
      </c>
      <c r="AH50" s="2" t="s">
        <v>52</v>
      </c>
      <c r="AI50" s="2" t="s">
        <v>53</v>
      </c>
    </row>
    <row r="51" customFormat="false" ht="23.85" hidden="false" customHeight="false" outlineLevel="0" collapsed="false">
      <c r="A51" s="4" t="n">
        <v>50</v>
      </c>
      <c r="B51" s="4" t="s">
        <v>35</v>
      </c>
      <c r="C51" s="4" t="s">
        <v>36</v>
      </c>
      <c r="D51" s="4" t="s">
        <v>37</v>
      </c>
      <c r="E51" s="4" t="s">
        <v>462</v>
      </c>
      <c r="F51" s="4" t="s">
        <v>463</v>
      </c>
      <c r="G51" s="4" t="s">
        <v>464</v>
      </c>
      <c r="H51" s="4" t="s">
        <v>186</v>
      </c>
      <c r="I51" s="4" t="s">
        <v>465</v>
      </c>
      <c r="J51" s="4"/>
      <c r="K51" s="5"/>
      <c r="L51" s="5"/>
      <c r="M51" s="4" t="s">
        <v>53</v>
      </c>
      <c r="N51" s="4"/>
      <c r="O51" s="4" t="s">
        <v>466</v>
      </c>
      <c r="P51" s="4"/>
      <c r="Q51" s="4"/>
      <c r="R51" s="4" t="s">
        <v>467</v>
      </c>
      <c r="S51" s="4" t="s">
        <v>468</v>
      </c>
      <c r="T51" s="4" t="s">
        <v>457</v>
      </c>
      <c r="U51" s="4" t="s">
        <v>469</v>
      </c>
      <c r="V51" s="4"/>
      <c r="W51" s="4" t="s">
        <v>470</v>
      </c>
      <c r="X51" s="4"/>
      <c r="Y51" s="4" t="s">
        <v>471</v>
      </c>
      <c r="Z51" s="4" t="s">
        <v>370</v>
      </c>
      <c r="AA51" s="4" t="s">
        <v>53</v>
      </c>
      <c r="AB51" s="4" t="s">
        <v>52</v>
      </c>
      <c r="AC51" s="4" t="s">
        <v>53</v>
      </c>
      <c r="AD51" s="4" t="s">
        <v>53</v>
      </c>
      <c r="AE51" s="4" t="s">
        <v>52</v>
      </c>
      <c r="AF51" s="4" t="s">
        <v>52</v>
      </c>
      <c r="AG51" s="4" t="s">
        <v>52</v>
      </c>
      <c r="AH51" s="4" t="s">
        <v>52</v>
      </c>
      <c r="AI51" s="4" t="s">
        <v>53</v>
      </c>
    </row>
    <row r="52" customFormat="false" ht="23.85" hidden="false" customHeight="false" outlineLevel="0" collapsed="false">
      <c r="A52" s="2" t="n">
        <v>51</v>
      </c>
      <c r="B52" s="2" t="s">
        <v>35</v>
      </c>
      <c r="C52" s="2" t="s">
        <v>36</v>
      </c>
      <c r="D52" s="2" t="s">
        <v>37</v>
      </c>
      <c r="E52" s="2" t="s">
        <v>472</v>
      </c>
      <c r="F52" s="2" t="s">
        <v>463</v>
      </c>
      <c r="G52" s="2" t="s">
        <v>464</v>
      </c>
      <c r="H52" s="2" t="s">
        <v>186</v>
      </c>
      <c r="I52" s="2" t="s">
        <v>473</v>
      </c>
      <c r="J52" s="2"/>
      <c r="K52" s="3"/>
      <c r="L52" s="3"/>
      <c r="M52" s="2" t="s">
        <v>53</v>
      </c>
      <c r="N52" s="2"/>
      <c r="O52" s="2"/>
      <c r="P52" s="2" t="s">
        <v>474</v>
      </c>
      <c r="Q52" s="2" t="s">
        <v>475</v>
      </c>
      <c r="R52" s="2"/>
      <c r="S52" s="2" t="s">
        <v>48</v>
      </c>
      <c r="T52" s="2" t="s">
        <v>475</v>
      </c>
      <c r="U52" s="2"/>
      <c r="V52" s="2"/>
      <c r="W52" s="2" t="s">
        <v>476</v>
      </c>
      <c r="X52" s="2"/>
      <c r="Y52" s="2" t="s">
        <v>471</v>
      </c>
      <c r="Z52" s="2" t="s">
        <v>477</v>
      </c>
      <c r="AA52" s="2" t="s">
        <v>53</v>
      </c>
      <c r="AB52" s="2" t="s">
        <v>53</v>
      </c>
      <c r="AC52" s="2" t="s">
        <v>52</v>
      </c>
      <c r="AD52" s="2" t="s">
        <v>52</v>
      </c>
      <c r="AE52" s="2" t="s">
        <v>53</v>
      </c>
      <c r="AF52" s="2" t="s">
        <v>52</v>
      </c>
      <c r="AG52" s="2" t="s">
        <v>52</v>
      </c>
      <c r="AH52" s="2" t="s">
        <v>53</v>
      </c>
      <c r="AI52" s="2" t="s">
        <v>53</v>
      </c>
    </row>
    <row r="53" customFormat="false" ht="23.85" hidden="false" customHeight="false" outlineLevel="0" collapsed="false">
      <c r="A53" s="4" t="n">
        <v>52</v>
      </c>
      <c r="B53" s="4" t="s">
        <v>35</v>
      </c>
      <c r="C53" s="4" t="s">
        <v>36</v>
      </c>
      <c r="D53" s="4" t="s">
        <v>37</v>
      </c>
      <c r="E53" s="4" t="s">
        <v>478</v>
      </c>
      <c r="F53" s="4" t="s">
        <v>319</v>
      </c>
      <c r="G53" s="4" t="s">
        <v>464</v>
      </c>
      <c r="H53" s="4" t="s">
        <v>479</v>
      </c>
      <c r="I53" s="4" t="s">
        <v>480</v>
      </c>
      <c r="J53" s="4"/>
      <c r="K53" s="5"/>
      <c r="L53" s="5"/>
      <c r="M53" s="4" t="s">
        <v>44</v>
      </c>
      <c r="N53" s="4"/>
      <c r="O53" s="4"/>
      <c r="P53" s="4"/>
      <c r="Q53" s="4"/>
      <c r="R53" s="4"/>
      <c r="S53" s="4" t="s">
        <v>48</v>
      </c>
      <c r="T53" s="4" t="s">
        <v>481</v>
      </c>
      <c r="U53" s="4" t="s">
        <v>482</v>
      </c>
      <c r="V53" s="4"/>
      <c r="W53" s="4" t="s">
        <v>483</v>
      </c>
      <c r="X53" s="4"/>
      <c r="Y53" s="4" t="s">
        <v>484</v>
      </c>
      <c r="Z53" s="4" t="s">
        <v>485</v>
      </c>
      <c r="AA53" s="4" t="s">
        <v>53</v>
      </c>
      <c r="AB53" s="4" t="s">
        <v>53</v>
      </c>
      <c r="AC53" s="4" t="s">
        <v>53</v>
      </c>
      <c r="AD53" s="4" t="s">
        <v>53</v>
      </c>
      <c r="AE53" s="4" t="s">
        <v>53</v>
      </c>
      <c r="AF53" s="4" t="s">
        <v>52</v>
      </c>
      <c r="AG53" s="4" t="s">
        <v>52</v>
      </c>
      <c r="AH53" s="4" t="s">
        <v>52</v>
      </c>
      <c r="AI53" s="4" t="s">
        <v>53</v>
      </c>
    </row>
    <row r="54" customFormat="false" ht="23.85" hidden="false" customHeight="false" outlineLevel="0" collapsed="false">
      <c r="A54" s="2" t="n">
        <v>53</v>
      </c>
      <c r="B54" s="2" t="s">
        <v>35</v>
      </c>
      <c r="C54" s="2" t="s">
        <v>36</v>
      </c>
      <c r="D54" s="2" t="s">
        <v>37</v>
      </c>
      <c r="E54" s="2" t="s">
        <v>486</v>
      </c>
      <c r="F54" s="2" t="s">
        <v>487</v>
      </c>
      <c r="G54" s="2" t="s">
        <v>464</v>
      </c>
      <c r="H54" s="2" t="s">
        <v>488</v>
      </c>
      <c r="I54" s="2" t="s">
        <v>489</v>
      </c>
      <c r="J54" s="2"/>
      <c r="K54" s="3"/>
      <c r="L54" s="3"/>
      <c r="M54" s="2" t="s">
        <v>53</v>
      </c>
      <c r="N54" s="2"/>
      <c r="O54" s="2"/>
      <c r="P54" s="2" t="s">
        <v>490</v>
      </c>
      <c r="Q54" s="2" t="s">
        <v>491</v>
      </c>
      <c r="R54" s="2"/>
      <c r="S54" s="2"/>
      <c r="T54" s="2" t="s">
        <v>475</v>
      </c>
      <c r="U54" s="2"/>
      <c r="V54" s="2" t="s">
        <v>492</v>
      </c>
      <c r="W54" s="2" t="s">
        <v>493</v>
      </c>
      <c r="X54" s="2"/>
      <c r="Y54" s="2" t="s">
        <v>494</v>
      </c>
      <c r="Z54" s="2" t="s">
        <v>495</v>
      </c>
      <c r="AA54" s="2" t="s">
        <v>53</v>
      </c>
      <c r="AB54" s="2" t="s">
        <v>53</v>
      </c>
      <c r="AC54" s="2" t="s">
        <v>52</v>
      </c>
      <c r="AD54" s="2" t="s">
        <v>52</v>
      </c>
      <c r="AE54" s="2" t="s">
        <v>53</v>
      </c>
      <c r="AF54" s="2" t="s">
        <v>53</v>
      </c>
      <c r="AG54" s="2" t="s">
        <v>52</v>
      </c>
      <c r="AH54" s="2" t="s">
        <v>53</v>
      </c>
      <c r="AI54" s="2" t="s">
        <v>52</v>
      </c>
    </row>
    <row r="55" customFormat="false" ht="23.85" hidden="false" customHeight="false" outlineLevel="0" collapsed="false">
      <c r="A55" s="4" t="n">
        <v>54</v>
      </c>
      <c r="B55" s="4" t="s">
        <v>35</v>
      </c>
      <c r="C55" s="4" t="s">
        <v>36</v>
      </c>
      <c r="D55" s="4" t="s">
        <v>37</v>
      </c>
      <c r="E55" s="4" t="s">
        <v>496</v>
      </c>
      <c r="F55" s="4" t="s">
        <v>497</v>
      </c>
      <c r="G55" s="4" t="s">
        <v>498</v>
      </c>
      <c r="H55" s="4" t="s">
        <v>41</v>
      </c>
      <c r="I55" s="4" t="s">
        <v>499</v>
      </c>
      <c r="J55" s="4" t="s">
        <v>500</v>
      </c>
      <c r="K55" s="5" t="n">
        <v>3690</v>
      </c>
      <c r="L55" s="5" t="n">
        <v>3690</v>
      </c>
      <c r="M55" s="4" t="s">
        <v>58</v>
      </c>
      <c r="N55" s="4" t="s">
        <v>13</v>
      </c>
      <c r="O55" s="4"/>
      <c r="P55" s="4" t="s">
        <v>501</v>
      </c>
      <c r="Q55" s="4" t="s">
        <v>502</v>
      </c>
      <c r="R55" s="4"/>
      <c r="S55" s="4"/>
      <c r="T55" s="4" t="s">
        <v>503</v>
      </c>
      <c r="U55" s="4" t="s">
        <v>504</v>
      </c>
      <c r="V55" s="4"/>
      <c r="W55" s="4" t="s">
        <v>139</v>
      </c>
      <c r="X55" s="4"/>
      <c r="Y55" s="4" t="s">
        <v>505</v>
      </c>
      <c r="Z55" s="4" t="s">
        <v>506</v>
      </c>
      <c r="AA55" s="4" t="s">
        <v>52</v>
      </c>
      <c r="AB55" s="4" t="s">
        <v>53</v>
      </c>
      <c r="AC55" s="4" t="s">
        <v>52</v>
      </c>
      <c r="AD55" s="4" t="s">
        <v>52</v>
      </c>
      <c r="AE55" s="4" t="s">
        <v>53</v>
      </c>
      <c r="AF55" s="4" t="s">
        <v>53</v>
      </c>
      <c r="AG55" s="4" t="s">
        <v>52</v>
      </c>
      <c r="AH55" s="4" t="s">
        <v>52</v>
      </c>
      <c r="AI55" s="4" t="s">
        <v>53</v>
      </c>
    </row>
    <row r="56" customFormat="false" ht="23.85" hidden="false" customHeight="false" outlineLevel="0" collapsed="false">
      <c r="A56" s="2" t="n">
        <v>55</v>
      </c>
      <c r="B56" s="2" t="s">
        <v>35</v>
      </c>
      <c r="C56" s="2" t="s">
        <v>36</v>
      </c>
      <c r="D56" s="2" t="s">
        <v>37</v>
      </c>
      <c r="E56" s="2" t="s">
        <v>507</v>
      </c>
      <c r="F56" s="2" t="s">
        <v>302</v>
      </c>
      <c r="G56" s="2" t="s">
        <v>464</v>
      </c>
      <c r="H56" s="2" t="s">
        <v>479</v>
      </c>
      <c r="I56" s="2" t="s">
        <v>508</v>
      </c>
      <c r="J56" s="2"/>
      <c r="K56" s="3"/>
      <c r="L56" s="3"/>
      <c r="M56" s="2" t="s">
        <v>44</v>
      </c>
      <c r="N56" s="2"/>
      <c r="O56" s="2"/>
      <c r="P56" s="2"/>
      <c r="Q56" s="2" t="s">
        <v>475</v>
      </c>
      <c r="R56" s="2"/>
      <c r="S56" s="2" t="s">
        <v>48</v>
      </c>
      <c r="T56" s="2" t="s">
        <v>475</v>
      </c>
      <c r="U56" s="2" t="s">
        <v>509</v>
      </c>
      <c r="V56" s="2"/>
      <c r="W56" s="2" t="s">
        <v>510</v>
      </c>
      <c r="X56" s="2"/>
      <c r="Y56" s="2" t="s">
        <v>505</v>
      </c>
      <c r="Z56" s="2" t="s">
        <v>511</v>
      </c>
      <c r="AA56" s="2" t="s">
        <v>53</v>
      </c>
      <c r="AB56" s="2" t="s">
        <v>53</v>
      </c>
      <c r="AC56" s="2" t="s">
        <v>53</v>
      </c>
      <c r="AD56" s="2" t="s">
        <v>52</v>
      </c>
      <c r="AE56" s="2" t="s">
        <v>53</v>
      </c>
      <c r="AF56" s="2" t="s">
        <v>52</v>
      </c>
      <c r="AG56" s="2" t="s">
        <v>52</v>
      </c>
      <c r="AH56" s="2" t="s">
        <v>52</v>
      </c>
      <c r="AI56" s="2" t="s">
        <v>53</v>
      </c>
    </row>
    <row r="57" customFormat="false" ht="23.85" hidden="false" customHeight="false" outlineLevel="0" collapsed="false">
      <c r="A57" s="4" t="n">
        <v>56</v>
      </c>
      <c r="B57" s="4" t="s">
        <v>35</v>
      </c>
      <c r="C57" s="4" t="s">
        <v>36</v>
      </c>
      <c r="D57" s="4" t="s">
        <v>37</v>
      </c>
      <c r="E57" s="4" t="s">
        <v>512</v>
      </c>
      <c r="F57" s="4" t="s">
        <v>487</v>
      </c>
      <c r="G57" s="4" t="s">
        <v>513</v>
      </c>
      <c r="H57" s="4" t="s">
        <v>186</v>
      </c>
      <c r="I57" s="4" t="s">
        <v>514</v>
      </c>
      <c r="J57" s="4" t="s">
        <v>515</v>
      </c>
      <c r="K57" s="5" t="n">
        <v>2050</v>
      </c>
      <c r="L57" s="5" t="n">
        <v>2050</v>
      </c>
      <c r="M57" s="4" t="s">
        <v>53</v>
      </c>
      <c r="N57" s="4"/>
      <c r="O57" s="4"/>
      <c r="P57" s="4"/>
      <c r="Q57" s="4" t="s">
        <v>516</v>
      </c>
      <c r="R57" s="4"/>
      <c r="S57" s="4"/>
      <c r="T57" s="4" t="s">
        <v>475</v>
      </c>
      <c r="U57" s="4"/>
      <c r="V57" s="4" t="s">
        <v>492</v>
      </c>
      <c r="W57" s="4" t="s">
        <v>517</v>
      </c>
      <c r="X57" s="4"/>
      <c r="Y57" s="4" t="s">
        <v>505</v>
      </c>
      <c r="Z57" s="4" t="s">
        <v>117</v>
      </c>
      <c r="AA57" s="4" t="s">
        <v>53</v>
      </c>
      <c r="AB57" s="4" t="s">
        <v>53</v>
      </c>
      <c r="AC57" s="4" t="s">
        <v>53</v>
      </c>
      <c r="AD57" s="4" t="s">
        <v>52</v>
      </c>
      <c r="AE57" s="4" t="s">
        <v>53</v>
      </c>
      <c r="AF57" s="4" t="s">
        <v>53</v>
      </c>
      <c r="AG57" s="4" t="s">
        <v>52</v>
      </c>
      <c r="AH57" s="4" t="s">
        <v>53</v>
      </c>
      <c r="AI57" s="4" t="s">
        <v>52</v>
      </c>
    </row>
    <row r="58" customFormat="false" ht="23.85" hidden="false" customHeight="false" outlineLevel="0" collapsed="false">
      <c r="A58" s="2" t="n">
        <v>57</v>
      </c>
      <c r="B58" s="2" t="s">
        <v>35</v>
      </c>
      <c r="C58" s="2" t="s">
        <v>36</v>
      </c>
      <c r="D58" s="2" t="s">
        <v>37</v>
      </c>
      <c r="E58" s="2" t="s">
        <v>518</v>
      </c>
      <c r="F58" s="2" t="s">
        <v>519</v>
      </c>
      <c r="G58" s="2" t="s">
        <v>520</v>
      </c>
      <c r="H58" s="2" t="s">
        <v>186</v>
      </c>
      <c r="I58" s="2" t="s">
        <v>521</v>
      </c>
      <c r="J58" s="2" t="s">
        <v>522</v>
      </c>
      <c r="K58" s="3" t="n">
        <v>1727.25</v>
      </c>
      <c r="L58" s="3" t="n">
        <v>1727.25</v>
      </c>
      <c r="M58" s="2" t="s">
        <v>53</v>
      </c>
      <c r="N58" s="2" t="s">
        <v>13</v>
      </c>
      <c r="O58" s="2"/>
      <c r="P58" s="2"/>
      <c r="Q58" s="2" t="s">
        <v>475</v>
      </c>
      <c r="R58" s="2"/>
      <c r="S58" s="2" t="s">
        <v>523</v>
      </c>
      <c r="T58" s="2" t="s">
        <v>475</v>
      </c>
      <c r="U58" s="2" t="s">
        <v>524</v>
      </c>
      <c r="V58" s="2"/>
      <c r="W58" s="2" t="s">
        <v>525</v>
      </c>
      <c r="X58" s="2"/>
      <c r="Y58" s="2" t="s">
        <v>505</v>
      </c>
      <c r="Z58" s="2" t="s">
        <v>526</v>
      </c>
      <c r="AA58" s="2" t="s">
        <v>52</v>
      </c>
      <c r="AB58" s="2" t="s">
        <v>53</v>
      </c>
      <c r="AC58" s="2" t="s">
        <v>53</v>
      </c>
      <c r="AD58" s="2" t="s">
        <v>52</v>
      </c>
      <c r="AE58" s="2" t="s">
        <v>53</v>
      </c>
      <c r="AF58" s="2" t="s">
        <v>52</v>
      </c>
      <c r="AG58" s="2" t="s">
        <v>52</v>
      </c>
      <c r="AH58" s="2" t="s">
        <v>52</v>
      </c>
      <c r="AI58" s="2" t="s">
        <v>53</v>
      </c>
    </row>
    <row r="59" customFormat="false" ht="35.05" hidden="false" customHeight="false" outlineLevel="0" collapsed="false">
      <c r="A59" s="4" t="n">
        <v>58</v>
      </c>
      <c r="B59" s="4" t="s">
        <v>35</v>
      </c>
      <c r="C59" s="4" t="s">
        <v>36</v>
      </c>
      <c r="D59" s="4" t="s">
        <v>37</v>
      </c>
      <c r="E59" s="4" t="s">
        <v>527</v>
      </c>
      <c r="F59" s="4" t="s">
        <v>528</v>
      </c>
      <c r="G59" s="4" t="s">
        <v>529</v>
      </c>
      <c r="H59" s="4" t="s">
        <v>186</v>
      </c>
      <c r="I59" s="4" t="s">
        <v>530</v>
      </c>
      <c r="J59" s="4"/>
      <c r="K59" s="5"/>
      <c r="L59" s="5"/>
      <c r="M59" s="4" t="s">
        <v>53</v>
      </c>
      <c r="N59" s="4" t="s">
        <v>13</v>
      </c>
      <c r="O59" s="4"/>
      <c r="P59" s="4"/>
      <c r="Q59" s="4" t="s">
        <v>531</v>
      </c>
      <c r="R59" s="4"/>
      <c r="S59" s="4" t="s">
        <v>159</v>
      </c>
      <c r="T59" s="4" t="s">
        <v>475</v>
      </c>
      <c r="U59" s="4" t="s">
        <v>427</v>
      </c>
      <c r="V59" s="4"/>
      <c r="W59" s="4" t="s">
        <v>532</v>
      </c>
      <c r="X59" s="4"/>
      <c r="Y59" s="4" t="s">
        <v>505</v>
      </c>
      <c r="Z59" s="4" t="s">
        <v>533</v>
      </c>
      <c r="AA59" s="4" t="s">
        <v>52</v>
      </c>
      <c r="AB59" s="4" t="s">
        <v>53</v>
      </c>
      <c r="AC59" s="4" t="s">
        <v>53</v>
      </c>
      <c r="AD59" s="4" t="s">
        <v>52</v>
      </c>
      <c r="AE59" s="4" t="s">
        <v>53</v>
      </c>
      <c r="AF59" s="4" t="s">
        <v>52</v>
      </c>
      <c r="AG59" s="4" t="s">
        <v>52</v>
      </c>
      <c r="AH59" s="4" t="s">
        <v>52</v>
      </c>
      <c r="AI59" s="4" t="s">
        <v>53</v>
      </c>
    </row>
    <row r="60" customFormat="false" ht="35.05" hidden="false" customHeight="false" outlineLevel="0" collapsed="false">
      <c r="A60" s="2" t="n">
        <v>59</v>
      </c>
      <c r="B60" s="2" t="s">
        <v>35</v>
      </c>
      <c r="C60" s="2" t="s">
        <v>36</v>
      </c>
      <c r="D60" s="2" t="s">
        <v>37</v>
      </c>
      <c r="E60" s="2" t="s">
        <v>534</v>
      </c>
      <c r="F60" s="2" t="s">
        <v>311</v>
      </c>
      <c r="G60" s="2" t="s">
        <v>535</v>
      </c>
      <c r="H60" s="2" t="s">
        <v>186</v>
      </c>
      <c r="I60" s="2" t="s">
        <v>530</v>
      </c>
      <c r="J60" s="2"/>
      <c r="K60" s="3"/>
      <c r="L60" s="3"/>
      <c r="M60" s="2" t="s">
        <v>53</v>
      </c>
      <c r="N60" s="2" t="s">
        <v>13</v>
      </c>
      <c r="O60" s="2"/>
      <c r="P60" s="2"/>
      <c r="Q60" s="2"/>
      <c r="R60" s="2"/>
      <c r="S60" s="2" t="s">
        <v>159</v>
      </c>
      <c r="T60" s="2"/>
      <c r="U60" s="2"/>
      <c r="V60" s="2"/>
      <c r="W60" s="2" t="s">
        <v>476</v>
      </c>
      <c r="X60" s="2"/>
      <c r="Y60" s="2" t="s">
        <v>505</v>
      </c>
      <c r="Z60" s="2" t="s">
        <v>536</v>
      </c>
      <c r="AA60" s="2" t="s">
        <v>52</v>
      </c>
      <c r="AB60" s="2" t="s">
        <v>53</v>
      </c>
      <c r="AC60" s="2" t="s">
        <v>53</v>
      </c>
      <c r="AD60" s="2" t="s">
        <v>53</v>
      </c>
      <c r="AE60" s="2" t="s">
        <v>53</v>
      </c>
      <c r="AF60" s="2" t="s">
        <v>52</v>
      </c>
      <c r="AG60" s="2" t="s">
        <v>53</v>
      </c>
      <c r="AH60" s="2" t="s">
        <v>53</v>
      </c>
      <c r="AI60" s="2" t="s">
        <v>53</v>
      </c>
    </row>
    <row r="61" customFormat="false" ht="23.85" hidden="false" customHeight="false" outlineLevel="0" collapsed="false">
      <c r="A61" s="4" t="n">
        <v>60</v>
      </c>
      <c r="B61" s="4" t="s">
        <v>35</v>
      </c>
      <c r="C61" s="4" t="s">
        <v>36</v>
      </c>
      <c r="D61" s="4" t="s">
        <v>37</v>
      </c>
      <c r="E61" s="4" t="s">
        <v>537</v>
      </c>
      <c r="F61" s="4" t="s">
        <v>292</v>
      </c>
      <c r="G61" s="4" t="s">
        <v>538</v>
      </c>
      <c r="H61" s="4" t="s">
        <v>186</v>
      </c>
      <c r="I61" s="4" t="s">
        <v>345</v>
      </c>
      <c r="J61" s="4"/>
      <c r="K61" s="5"/>
      <c r="L61" s="5"/>
      <c r="M61" s="4" t="s">
        <v>53</v>
      </c>
      <c r="N61" s="4" t="s">
        <v>13</v>
      </c>
      <c r="O61" s="4"/>
      <c r="P61" s="4" t="s">
        <v>539</v>
      </c>
      <c r="Q61" s="4" t="s">
        <v>540</v>
      </c>
      <c r="R61" s="4"/>
      <c r="S61" s="4"/>
      <c r="T61" s="4"/>
      <c r="U61" s="4" t="s">
        <v>298</v>
      </c>
      <c r="V61" s="4"/>
      <c r="W61" s="4" t="s">
        <v>493</v>
      </c>
      <c r="X61" s="4"/>
      <c r="Y61" s="4" t="s">
        <v>541</v>
      </c>
      <c r="Z61" s="4" t="s">
        <v>141</v>
      </c>
      <c r="AA61" s="4" t="s">
        <v>52</v>
      </c>
      <c r="AB61" s="4" t="s">
        <v>53</v>
      </c>
      <c r="AC61" s="4" t="s">
        <v>52</v>
      </c>
      <c r="AD61" s="4" t="s">
        <v>52</v>
      </c>
      <c r="AE61" s="4" t="s">
        <v>53</v>
      </c>
      <c r="AF61" s="4" t="s">
        <v>53</v>
      </c>
      <c r="AG61" s="4" t="s">
        <v>53</v>
      </c>
      <c r="AH61" s="4" t="s">
        <v>52</v>
      </c>
      <c r="AI61" s="4" t="s">
        <v>53</v>
      </c>
    </row>
    <row r="62" customFormat="false" ht="23.85" hidden="false" customHeight="false" outlineLevel="0" collapsed="false">
      <c r="A62" s="2" t="n">
        <v>61</v>
      </c>
      <c r="B62" s="2" t="s">
        <v>35</v>
      </c>
      <c r="C62" s="2" t="s">
        <v>36</v>
      </c>
      <c r="D62" s="2" t="s">
        <v>37</v>
      </c>
      <c r="E62" s="2" t="s">
        <v>542</v>
      </c>
      <c r="F62" s="2" t="s">
        <v>519</v>
      </c>
      <c r="G62" s="2" t="s">
        <v>543</v>
      </c>
      <c r="H62" s="2" t="s">
        <v>186</v>
      </c>
      <c r="I62" s="2" t="s">
        <v>544</v>
      </c>
      <c r="J62" s="2" t="s">
        <v>545</v>
      </c>
      <c r="K62" s="3" t="n">
        <v>2065</v>
      </c>
      <c r="L62" s="3" t="n">
        <v>2065</v>
      </c>
      <c r="M62" s="2" t="s">
        <v>53</v>
      </c>
      <c r="N62" s="2" t="s">
        <v>13</v>
      </c>
      <c r="O62" s="2"/>
      <c r="P62" s="2"/>
      <c r="Q62" s="2"/>
      <c r="R62" s="2"/>
      <c r="S62" s="2"/>
      <c r="T62" s="2"/>
      <c r="U62" s="2" t="s">
        <v>524</v>
      </c>
      <c r="V62" s="2"/>
      <c r="W62" s="2" t="s">
        <v>546</v>
      </c>
      <c r="X62" s="2"/>
      <c r="Y62" s="2" t="s">
        <v>541</v>
      </c>
      <c r="Z62" s="2" t="s">
        <v>547</v>
      </c>
      <c r="AA62" s="2" t="s">
        <v>52</v>
      </c>
      <c r="AB62" s="2" t="s">
        <v>53</v>
      </c>
      <c r="AC62" s="2" t="s">
        <v>53</v>
      </c>
      <c r="AD62" s="2" t="s">
        <v>53</v>
      </c>
      <c r="AE62" s="2" t="s">
        <v>53</v>
      </c>
      <c r="AF62" s="2" t="s">
        <v>53</v>
      </c>
      <c r="AG62" s="2" t="s">
        <v>53</v>
      </c>
      <c r="AH62" s="2" t="s">
        <v>52</v>
      </c>
      <c r="AI62" s="2" t="s">
        <v>53</v>
      </c>
    </row>
    <row r="63" customFormat="false" ht="23.85" hidden="false" customHeight="false" outlineLevel="0" collapsed="false">
      <c r="A63" s="4" t="n">
        <v>62</v>
      </c>
      <c r="B63" s="4" t="s">
        <v>35</v>
      </c>
      <c r="C63" s="4" t="s">
        <v>36</v>
      </c>
      <c r="D63" s="4" t="s">
        <v>37</v>
      </c>
      <c r="E63" s="4" t="s">
        <v>548</v>
      </c>
      <c r="F63" s="4" t="s">
        <v>549</v>
      </c>
      <c r="G63" s="4" t="s">
        <v>550</v>
      </c>
      <c r="H63" s="4" t="s">
        <v>186</v>
      </c>
      <c r="I63" s="4" t="s">
        <v>551</v>
      </c>
      <c r="J63" s="4"/>
      <c r="K63" s="5"/>
      <c r="L63" s="5"/>
      <c r="M63" s="4" t="s">
        <v>53</v>
      </c>
      <c r="N63" s="4"/>
      <c r="O63" s="4"/>
      <c r="P63" s="4"/>
      <c r="Q63" s="4"/>
      <c r="R63" s="4"/>
      <c r="S63" s="4" t="s">
        <v>159</v>
      </c>
      <c r="T63" s="4"/>
      <c r="U63" s="4" t="s">
        <v>552</v>
      </c>
      <c r="V63" s="4"/>
      <c r="W63" s="4" t="s">
        <v>553</v>
      </c>
      <c r="X63" s="4"/>
      <c r="Y63" s="4" t="s">
        <v>541</v>
      </c>
      <c r="Z63" s="4" t="s">
        <v>554</v>
      </c>
      <c r="AA63" s="4" t="s">
        <v>53</v>
      </c>
      <c r="AB63" s="4" t="s">
        <v>53</v>
      </c>
      <c r="AC63" s="4" t="s">
        <v>53</v>
      </c>
      <c r="AD63" s="4" t="s">
        <v>53</v>
      </c>
      <c r="AE63" s="4" t="s">
        <v>53</v>
      </c>
      <c r="AF63" s="4" t="s">
        <v>52</v>
      </c>
      <c r="AG63" s="4" t="s">
        <v>53</v>
      </c>
      <c r="AH63" s="4" t="s">
        <v>52</v>
      </c>
      <c r="AI63" s="4" t="s">
        <v>53</v>
      </c>
    </row>
    <row r="64" customFormat="false" ht="23.85" hidden="false" customHeight="false" outlineLevel="0" collapsed="false">
      <c r="A64" s="2" t="n">
        <v>63</v>
      </c>
      <c r="B64" s="2" t="s">
        <v>35</v>
      </c>
      <c r="C64" s="2" t="s">
        <v>36</v>
      </c>
      <c r="D64" s="2" t="s">
        <v>37</v>
      </c>
      <c r="E64" s="2" t="s">
        <v>555</v>
      </c>
      <c r="F64" s="2" t="s">
        <v>556</v>
      </c>
      <c r="G64" s="2" t="s">
        <v>464</v>
      </c>
      <c r="H64" s="2" t="s">
        <v>186</v>
      </c>
      <c r="I64" s="2" t="s">
        <v>557</v>
      </c>
      <c r="J64" s="2"/>
      <c r="K64" s="3"/>
      <c r="L64" s="3"/>
      <c r="M64" s="2" t="s">
        <v>53</v>
      </c>
      <c r="N64" s="2"/>
      <c r="O64" s="2"/>
      <c r="P64" s="2"/>
      <c r="Q64" s="2"/>
      <c r="R64" s="2"/>
      <c r="S64" s="2"/>
      <c r="T64" s="2"/>
      <c r="U64" s="2"/>
      <c r="V64" s="2"/>
      <c r="W64" s="2"/>
      <c r="X64" s="2" t="s">
        <v>558</v>
      </c>
      <c r="Y64" s="2" t="s">
        <v>541</v>
      </c>
      <c r="Z64" s="2" t="s">
        <v>273</v>
      </c>
      <c r="AA64" s="2" t="s">
        <v>53</v>
      </c>
      <c r="AB64" s="2" t="s">
        <v>53</v>
      </c>
      <c r="AC64" s="2" t="s">
        <v>53</v>
      </c>
      <c r="AD64" s="2" t="s">
        <v>53</v>
      </c>
      <c r="AE64" s="2" t="s">
        <v>53</v>
      </c>
      <c r="AF64" s="2" t="s">
        <v>53</v>
      </c>
      <c r="AG64" s="2" t="s">
        <v>53</v>
      </c>
      <c r="AH64" s="2" t="s">
        <v>53</v>
      </c>
      <c r="AI64" s="2" t="s">
        <v>53</v>
      </c>
    </row>
    <row r="65" customFormat="false" ht="23.85" hidden="false" customHeight="false" outlineLevel="0" collapsed="false">
      <c r="A65" s="4" t="n">
        <v>64</v>
      </c>
      <c r="B65" s="4" t="s">
        <v>35</v>
      </c>
      <c r="C65" s="4" t="s">
        <v>36</v>
      </c>
      <c r="D65" s="4" t="s">
        <v>37</v>
      </c>
      <c r="E65" s="4" t="s">
        <v>559</v>
      </c>
      <c r="F65" s="4" t="s">
        <v>311</v>
      </c>
      <c r="G65" s="4" t="s">
        <v>538</v>
      </c>
      <c r="H65" s="4" t="s">
        <v>186</v>
      </c>
      <c r="I65" s="4" t="s">
        <v>560</v>
      </c>
      <c r="J65" s="4"/>
      <c r="K65" s="5"/>
      <c r="L65" s="5"/>
      <c r="M65" s="4" t="s">
        <v>53</v>
      </c>
      <c r="N65" s="4" t="s">
        <v>13</v>
      </c>
      <c r="O65" s="4"/>
      <c r="P65" s="4" t="s">
        <v>474</v>
      </c>
      <c r="Q65" s="4" t="s">
        <v>475</v>
      </c>
      <c r="R65" s="4"/>
      <c r="S65" s="4" t="s">
        <v>561</v>
      </c>
      <c r="T65" s="4" t="s">
        <v>475</v>
      </c>
      <c r="U65" s="4" t="s">
        <v>469</v>
      </c>
      <c r="V65" s="4"/>
      <c r="W65" s="4" t="s">
        <v>562</v>
      </c>
      <c r="X65" s="4"/>
      <c r="Y65" s="4" t="s">
        <v>541</v>
      </c>
      <c r="Z65" s="4" t="s">
        <v>563</v>
      </c>
      <c r="AA65" s="4" t="s">
        <v>52</v>
      </c>
      <c r="AB65" s="4" t="s">
        <v>53</v>
      </c>
      <c r="AC65" s="4" t="s">
        <v>52</v>
      </c>
      <c r="AD65" s="4" t="s">
        <v>52</v>
      </c>
      <c r="AE65" s="4" t="s">
        <v>53</v>
      </c>
      <c r="AF65" s="4" t="s">
        <v>52</v>
      </c>
      <c r="AG65" s="4" t="s">
        <v>52</v>
      </c>
      <c r="AH65" s="4" t="s">
        <v>52</v>
      </c>
      <c r="AI65" s="4" t="s">
        <v>53</v>
      </c>
    </row>
    <row r="66" customFormat="false" ht="35.05" hidden="false" customHeight="false" outlineLevel="0" collapsed="false">
      <c r="A66" s="2" t="n">
        <v>65</v>
      </c>
      <c r="B66" s="2" t="s">
        <v>35</v>
      </c>
      <c r="C66" s="2" t="s">
        <v>36</v>
      </c>
      <c r="D66" s="2" t="s">
        <v>37</v>
      </c>
      <c r="E66" s="2" t="s">
        <v>564</v>
      </c>
      <c r="F66" s="2" t="s">
        <v>565</v>
      </c>
      <c r="G66" s="2" t="s">
        <v>566</v>
      </c>
      <c r="H66" s="2" t="s">
        <v>186</v>
      </c>
      <c r="I66" s="2" t="s">
        <v>567</v>
      </c>
      <c r="J66" s="2" t="s">
        <v>568</v>
      </c>
      <c r="K66" s="3" t="n">
        <v>2730</v>
      </c>
      <c r="L66" s="3" t="n">
        <v>2730</v>
      </c>
      <c r="M66" s="2" t="s">
        <v>53</v>
      </c>
      <c r="N66" s="2" t="s">
        <v>13</v>
      </c>
      <c r="O66" s="2"/>
      <c r="P66" s="2"/>
      <c r="Q66" s="2" t="s">
        <v>569</v>
      </c>
      <c r="R66" s="2"/>
      <c r="S66" s="2"/>
      <c r="T66" s="2" t="s">
        <v>475</v>
      </c>
      <c r="U66" s="2" t="s">
        <v>570</v>
      </c>
      <c r="V66" s="2"/>
      <c r="W66" s="2" t="s">
        <v>571</v>
      </c>
      <c r="X66" s="2"/>
      <c r="Y66" s="2" t="s">
        <v>541</v>
      </c>
      <c r="Z66" s="2" t="s">
        <v>572</v>
      </c>
      <c r="AA66" s="2" t="s">
        <v>52</v>
      </c>
      <c r="AB66" s="2" t="s">
        <v>53</v>
      </c>
      <c r="AC66" s="2" t="s">
        <v>53</v>
      </c>
      <c r="AD66" s="2" t="s">
        <v>52</v>
      </c>
      <c r="AE66" s="2" t="s">
        <v>53</v>
      </c>
      <c r="AF66" s="2" t="s">
        <v>53</v>
      </c>
      <c r="AG66" s="2" t="s">
        <v>52</v>
      </c>
      <c r="AH66" s="2" t="s">
        <v>52</v>
      </c>
      <c r="AI66" s="2" t="s">
        <v>53</v>
      </c>
    </row>
    <row r="67" customFormat="false" ht="23.85" hidden="false" customHeight="false" outlineLevel="0" collapsed="false">
      <c r="A67" s="4" t="n">
        <v>66</v>
      </c>
      <c r="B67" s="4" t="s">
        <v>35</v>
      </c>
      <c r="C67" s="4" t="s">
        <v>36</v>
      </c>
      <c r="D67" s="4" t="s">
        <v>37</v>
      </c>
      <c r="E67" s="4" t="s">
        <v>573</v>
      </c>
      <c r="F67" s="4" t="s">
        <v>574</v>
      </c>
      <c r="G67" s="4" t="s">
        <v>464</v>
      </c>
      <c r="H67" s="4" t="s">
        <v>479</v>
      </c>
      <c r="I67" s="4" t="s">
        <v>575</v>
      </c>
      <c r="J67" s="4" t="s">
        <v>576</v>
      </c>
      <c r="K67" s="5"/>
      <c r="L67" s="5"/>
      <c r="M67" s="4" t="s">
        <v>44</v>
      </c>
      <c r="N67" s="4"/>
      <c r="O67" s="4"/>
      <c r="P67" s="4"/>
      <c r="Q67" s="4"/>
      <c r="R67" s="4"/>
      <c r="S67" s="4"/>
      <c r="T67" s="4"/>
      <c r="U67" s="4"/>
      <c r="V67" s="4"/>
      <c r="W67" s="4" t="s">
        <v>493</v>
      </c>
      <c r="X67" s="4"/>
      <c r="Y67" s="4" t="s">
        <v>577</v>
      </c>
      <c r="Z67" s="4" t="s">
        <v>578</v>
      </c>
      <c r="AA67" s="4" t="s">
        <v>53</v>
      </c>
      <c r="AB67" s="4" t="s">
        <v>53</v>
      </c>
      <c r="AC67" s="4" t="s">
        <v>53</v>
      </c>
      <c r="AD67" s="4" t="s">
        <v>53</v>
      </c>
      <c r="AE67" s="4" t="s">
        <v>53</v>
      </c>
      <c r="AF67" s="4" t="s">
        <v>53</v>
      </c>
      <c r="AG67" s="4" t="s">
        <v>53</v>
      </c>
      <c r="AH67" s="4" t="s">
        <v>53</v>
      </c>
      <c r="AI67" s="4" t="s">
        <v>53</v>
      </c>
    </row>
    <row r="68" customFormat="false" ht="23.85" hidden="false" customHeight="false" outlineLevel="0" collapsed="false">
      <c r="A68" s="2" t="n">
        <v>67</v>
      </c>
      <c r="B68" s="2" t="s">
        <v>35</v>
      </c>
      <c r="C68" s="2" t="s">
        <v>36</v>
      </c>
      <c r="D68" s="2" t="s">
        <v>37</v>
      </c>
      <c r="E68" s="2" t="s">
        <v>579</v>
      </c>
      <c r="F68" s="2" t="s">
        <v>580</v>
      </c>
      <c r="G68" s="2" t="s">
        <v>581</v>
      </c>
      <c r="H68" s="2" t="s">
        <v>186</v>
      </c>
      <c r="I68" s="2" t="s">
        <v>582</v>
      </c>
      <c r="J68" s="2"/>
      <c r="K68" s="3"/>
      <c r="L68" s="3"/>
      <c r="M68" s="2" t="s">
        <v>53</v>
      </c>
      <c r="N68" s="2"/>
      <c r="O68" s="2"/>
      <c r="P68" s="2"/>
      <c r="Q68" s="2"/>
      <c r="R68" s="2"/>
      <c r="S68" s="2"/>
      <c r="T68" s="2"/>
      <c r="U68" s="2"/>
      <c r="V68" s="2"/>
      <c r="W68" s="2"/>
      <c r="X68" s="2" t="s">
        <v>583</v>
      </c>
      <c r="Y68" s="2" t="s">
        <v>584</v>
      </c>
      <c r="Z68" s="2" t="s">
        <v>128</v>
      </c>
      <c r="AA68" s="2" t="s">
        <v>53</v>
      </c>
      <c r="AB68" s="2" t="s">
        <v>53</v>
      </c>
      <c r="AC68" s="2" t="s">
        <v>53</v>
      </c>
      <c r="AD68" s="2" t="s">
        <v>53</v>
      </c>
      <c r="AE68" s="2" t="s">
        <v>53</v>
      </c>
      <c r="AF68" s="2" t="s">
        <v>53</v>
      </c>
      <c r="AG68" s="2" t="s">
        <v>53</v>
      </c>
      <c r="AH68" s="2" t="s">
        <v>53</v>
      </c>
      <c r="AI68" s="2" t="s">
        <v>53</v>
      </c>
    </row>
    <row r="69" customFormat="false" ht="23.85" hidden="false" customHeight="false" outlineLevel="0" collapsed="false">
      <c r="A69" s="4" t="n">
        <v>68</v>
      </c>
      <c r="B69" s="4" t="s">
        <v>35</v>
      </c>
      <c r="C69" s="4" t="s">
        <v>36</v>
      </c>
      <c r="D69" s="4" t="s">
        <v>37</v>
      </c>
      <c r="E69" s="4" t="s">
        <v>585</v>
      </c>
      <c r="F69" s="4" t="s">
        <v>68</v>
      </c>
      <c r="G69" s="4" t="s">
        <v>586</v>
      </c>
      <c r="H69" s="4" t="s">
        <v>479</v>
      </c>
      <c r="I69" s="4" t="s">
        <v>587</v>
      </c>
      <c r="J69" s="4" t="s">
        <v>588</v>
      </c>
      <c r="K69" s="5" t="n">
        <v>6860</v>
      </c>
      <c r="L69" s="5" t="n">
        <v>6860</v>
      </c>
      <c r="M69" s="4" t="s">
        <v>44</v>
      </c>
      <c r="N69" s="4"/>
      <c r="O69" s="4"/>
      <c r="P69" s="4" t="s">
        <v>589</v>
      </c>
      <c r="Q69" s="4" t="s">
        <v>590</v>
      </c>
      <c r="R69" s="4"/>
      <c r="S69" s="4" t="s">
        <v>591</v>
      </c>
      <c r="T69" s="4" t="s">
        <v>592</v>
      </c>
      <c r="U69" s="4" t="s">
        <v>593</v>
      </c>
      <c r="V69" s="4"/>
      <c r="W69" s="4" t="s">
        <v>594</v>
      </c>
      <c r="X69" s="4"/>
      <c r="Y69" s="4" t="s">
        <v>584</v>
      </c>
      <c r="Z69" s="4" t="s">
        <v>273</v>
      </c>
      <c r="AA69" s="4" t="s">
        <v>53</v>
      </c>
      <c r="AB69" s="4" t="s">
        <v>53</v>
      </c>
      <c r="AC69" s="4" t="s">
        <v>52</v>
      </c>
      <c r="AD69" s="4" t="s">
        <v>52</v>
      </c>
      <c r="AE69" s="4" t="s">
        <v>53</v>
      </c>
      <c r="AF69" s="4" t="s">
        <v>52</v>
      </c>
      <c r="AG69" s="4" t="s">
        <v>52</v>
      </c>
      <c r="AH69" s="4" t="s">
        <v>52</v>
      </c>
      <c r="AI69" s="4" t="s">
        <v>53</v>
      </c>
    </row>
    <row r="70" customFormat="false" ht="35.05" hidden="false" customHeight="false" outlineLevel="0" collapsed="false">
      <c r="A70" s="2" t="n">
        <v>69</v>
      </c>
      <c r="B70" s="2" t="s">
        <v>35</v>
      </c>
      <c r="C70" s="2" t="s">
        <v>36</v>
      </c>
      <c r="D70" s="2" t="s">
        <v>37</v>
      </c>
      <c r="E70" s="2" t="s">
        <v>595</v>
      </c>
      <c r="F70" s="2" t="s">
        <v>596</v>
      </c>
      <c r="G70" s="2" t="s">
        <v>597</v>
      </c>
      <c r="H70" s="2" t="s">
        <v>479</v>
      </c>
      <c r="I70" s="2" t="s">
        <v>598</v>
      </c>
      <c r="J70" s="2"/>
      <c r="K70" s="3"/>
      <c r="L70" s="3"/>
      <c r="M70" s="2" t="s">
        <v>44</v>
      </c>
      <c r="N70" s="2" t="s">
        <v>13</v>
      </c>
      <c r="O70" s="2"/>
      <c r="P70" s="2" t="s">
        <v>353</v>
      </c>
      <c r="Q70" s="2" t="s">
        <v>599</v>
      </c>
      <c r="R70" s="2"/>
      <c r="S70" s="2" t="s">
        <v>600</v>
      </c>
      <c r="T70" s="2" t="s">
        <v>592</v>
      </c>
      <c r="U70" s="2" t="s">
        <v>601</v>
      </c>
      <c r="V70" s="2"/>
      <c r="W70" s="2" t="s">
        <v>139</v>
      </c>
      <c r="X70" s="2"/>
      <c r="Y70" s="2" t="s">
        <v>602</v>
      </c>
      <c r="Z70" s="2" t="s">
        <v>378</v>
      </c>
      <c r="AA70" s="2" t="s">
        <v>52</v>
      </c>
      <c r="AB70" s="2" t="s">
        <v>53</v>
      </c>
      <c r="AC70" s="2" t="s">
        <v>52</v>
      </c>
      <c r="AD70" s="2" t="s">
        <v>52</v>
      </c>
      <c r="AE70" s="2" t="s">
        <v>53</v>
      </c>
      <c r="AF70" s="2" t="s">
        <v>52</v>
      </c>
      <c r="AG70" s="2" t="s">
        <v>52</v>
      </c>
      <c r="AH70" s="2" t="s">
        <v>52</v>
      </c>
      <c r="AI70" s="2" t="s">
        <v>53</v>
      </c>
    </row>
    <row r="71" customFormat="false" ht="23.85" hidden="false" customHeight="false" outlineLevel="0" collapsed="false">
      <c r="A71" s="4" t="n">
        <v>70</v>
      </c>
      <c r="B71" s="4" t="s">
        <v>35</v>
      </c>
      <c r="C71" s="4" t="s">
        <v>36</v>
      </c>
      <c r="D71" s="4" t="s">
        <v>37</v>
      </c>
      <c r="E71" s="4" t="s">
        <v>603</v>
      </c>
      <c r="F71" s="4" t="s">
        <v>319</v>
      </c>
      <c r="G71" s="4" t="s">
        <v>604</v>
      </c>
      <c r="H71" s="4" t="s">
        <v>479</v>
      </c>
      <c r="I71" s="4" t="s">
        <v>605</v>
      </c>
      <c r="J71" s="4"/>
      <c r="K71" s="5"/>
      <c r="L71" s="5"/>
      <c r="M71" s="4" t="s">
        <v>44</v>
      </c>
      <c r="N71" s="4" t="s">
        <v>13</v>
      </c>
      <c r="O71" s="4"/>
      <c r="P71" s="4"/>
      <c r="Q71" s="4"/>
      <c r="R71" s="4"/>
      <c r="S71" s="4"/>
      <c r="T71" s="4" t="s">
        <v>592</v>
      </c>
      <c r="U71" s="4"/>
      <c r="V71" s="4"/>
      <c r="W71" s="4" t="s">
        <v>606</v>
      </c>
      <c r="X71" s="4"/>
      <c r="Y71" s="4" t="s">
        <v>602</v>
      </c>
      <c r="Z71" s="4" t="s">
        <v>607</v>
      </c>
      <c r="AA71" s="4" t="s">
        <v>52</v>
      </c>
      <c r="AB71" s="4" t="s">
        <v>53</v>
      </c>
      <c r="AC71" s="4" t="s">
        <v>53</v>
      </c>
      <c r="AD71" s="4" t="s">
        <v>53</v>
      </c>
      <c r="AE71" s="4" t="s">
        <v>53</v>
      </c>
      <c r="AF71" s="4" t="s">
        <v>53</v>
      </c>
      <c r="AG71" s="4" t="s">
        <v>52</v>
      </c>
      <c r="AH71" s="4" t="s">
        <v>53</v>
      </c>
      <c r="AI71" s="4" t="s">
        <v>53</v>
      </c>
    </row>
    <row r="72" customFormat="false" ht="23.85" hidden="false" customHeight="false" outlineLevel="0" collapsed="false">
      <c r="A72" s="2" t="n">
        <v>71</v>
      </c>
      <c r="B72" s="2" t="s">
        <v>35</v>
      </c>
      <c r="C72" s="2" t="s">
        <v>36</v>
      </c>
      <c r="D72" s="2" t="s">
        <v>37</v>
      </c>
      <c r="E72" s="2" t="s">
        <v>608</v>
      </c>
      <c r="F72" s="2" t="s">
        <v>609</v>
      </c>
      <c r="G72" s="2" t="s">
        <v>610</v>
      </c>
      <c r="H72" s="2" t="s">
        <v>479</v>
      </c>
      <c r="I72" s="2" t="s">
        <v>611</v>
      </c>
      <c r="J72" s="2"/>
      <c r="K72" s="3"/>
      <c r="L72" s="3"/>
      <c r="M72" s="2" t="s">
        <v>44</v>
      </c>
      <c r="N72" s="2"/>
      <c r="O72" s="2"/>
      <c r="P72" s="2"/>
      <c r="Q72" s="2"/>
      <c r="R72" s="2"/>
      <c r="S72" s="2"/>
      <c r="T72" s="2"/>
      <c r="U72" s="2"/>
      <c r="V72" s="2"/>
      <c r="W72" s="2"/>
      <c r="X72" s="2" t="s">
        <v>612</v>
      </c>
      <c r="Y72" s="2" t="s">
        <v>602</v>
      </c>
      <c r="Z72" s="2" t="s">
        <v>613</v>
      </c>
      <c r="AA72" s="2" t="s">
        <v>53</v>
      </c>
      <c r="AB72" s="2" t="s">
        <v>53</v>
      </c>
      <c r="AC72" s="2" t="s">
        <v>53</v>
      </c>
      <c r="AD72" s="2" t="s">
        <v>53</v>
      </c>
      <c r="AE72" s="2" t="s">
        <v>53</v>
      </c>
      <c r="AF72" s="2" t="s">
        <v>53</v>
      </c>
      <c r="AG72" s="2" t="s">
        <v>53</v>
      </c>
      <c r="AH72" s="2" t="s">
        <v>53</v>
      </c>
      <c r="AI72" s="2" t="s">
        <v>53</v>
      </c>
    </row>
    <row r="73" customFormat="false" ht="23.85" hidden="false" customHeight="false" outlineLevel="0" collapsed="false">
      <c r="A73" s="4" t="n">
        <v>72</v>
      </c>
      <c r="B73" s="4" t="s">
        <v>35</v>
      </c>
      <c r="C73" s="4" t="s">
        <v>36</v>
      </c>
      <c r="D73" s="4" t="s">
        <v>37</v>
      </c>
      <c r="E73" s="4" t="s">
        <v>614</v>
      </c>
      <c r="F73" s="4" t="s">
        <v>615</v>
      </c>
      <c r="G73" s="4" t="s">
        <v>616</v>
      </c>
      <c r="H73" s="4" t="s">
        <v>41</v>
      </c>
      <c r="I73" s="4" t="s">
        <v>617</v>
      </c>
      <c r="J73" s="4"/>
      <c r="K73" s="5"/>
      <c r="L73" s="5"/>
      <c r="M73" s="4" t="s">
        <v>58</v>
      </c>
      <c r="N73" s="4"/>
      <c r="O73" s="4"/>
      <c r="P73" s="4"/>
      <c r="Q73" s="4"/>
      <c r="R73" s="4"/>
      <c r="S73" s="4" t="s">
        <v>159</v>
      </c>
      <c r="T73" s="4" t="s">
        <v>618</v>
      </c>
      <c r="U73" s="4" t="s">
        <v>619</v>
      </c>
      <c r="V73" s="4"/>
      <c r="W73" s="4" t="s">
        <v>620</v>
      </c>
      <c r="X73" s="4"/>
      <c r="Y73" s="4" t="s">
        <v>602</v>
      </c>
      <c r="Z73" s="4" t="s">
        <v>621</v>
      </c>
      <c r="AA73" s="4" t="s">
        <v>53</v>
      </c>
      <c r="AB73" s="4" t="s">
        <v>53</v>
      </c>
      <c r="AC73" s="4" t="s">
        <v>53</v>
      </c>
      <c r="AD73" s="4" t="s">
        <v>53</v>
      </c>
      <c r="AE73" s="4" t="s">
        <v>53</v>
      </c>
      <c r="AF73" s="4" t="s">
        <v>52</v>
      </c>
      <c r="AG73" s="4" t="s">
        <v>52</v>
      </c>
      <c r="AH73" s="4" t="s">
        <v>52</v>
      </c>
      <c r="AI73" s="4" t="s">
        <v>53</v>
      </c>
    </row>
    <row r="74" customFormat="false" ht="23.85" hidden="false" customHeight="false" outlineLevel="0" collapsed="false">
      <c r="A74" s="2" t="n">
        <v>73</v>
      </c>
      <c r="B74" s="2" t="s">
        <v>35</v>
      </c>
      <c r="C74" s="2" t="s">
        <v>36</v>
      </c>
      <c r="D74" s="2" t="s">
        <v>37</v>
      </c>
      <c r="E74" s="2" t="s">
        <v>622</v>
      </c>
      <c r="F74" s="2" t="s">
        <v>39</v>
      </c>
      <c r="G74" s="2" t="s">
        <v>623</v>
      </c>
      <c r="H74" s="2" t="s">
        <v>479</v>
      </c>
      <c r="I74" s="2" t="s">
        <v>624</v>
      </c>
      <c r="J74" s="2"/>
      <c r="K74" s="3"/>
      <c r="L74" s="3"/>
      <c r="M74" s="2" t="s">
        <v>44</v>
      </c>
      <c r="N74" s="2"/>
      <c r="O74" s="2"/>
      <c r="P74" s="2"/>
      <c r="Q74" s="2"/>
      <c r="R74" s="2"/>
      <c r="S74" s="2"/>
      <c r="T74" s="2" t="s">
        <v>592</v>
      </c>
      <c r="U74" s="2" t="s">
        <v>625</v>
      </c>
      <c r="V74" s="2"/>
      <c r="W74" s="2" t="s">
        <v>626</v>
      </c>
      <c r="X74" s="2"/>
      <c r="Y74" s="2" t="s">
        <v>627</v>
      </c>
      <c r="Z74" s="2" t="s">
        <v>628</v>
      </c>
      <c r="AA74" s="2" t="s">
        <v>53</v>
      </c>
      <c r="AB74" s="2" t="s">
        <v>53</v>
      </c>
      <c r="AC74" s="2" t="s">
        <v>53</v>
      </c>
      <c r="AD74" s="2" t="s">
        <v>53</v>
      </c>
      <c r="AE74" s="2" t="s">
        <v>53</v>
      </c>
      <c r="AF74" s="2" t="s">
        <v>53</v>
      </c>
      <c r="AG74" s="2" t="s">
        <v>52</v>
      </c>
      <c r="AH74" s="2" t="s">
        <v>52</v>
      </c>
      <c r="AI74" s="2" t="s">
        <v>53</v>
      </c>
    </row>
    <row r="75" customFormat="false" ht="23.85" hidden="false" customHeight="false" outlineLevel="0" collapsed="false">
      <c r="A75" s="4" t="n">
        <v>74</v>
      </c>
      <c r="B75" s="4" t="s">
        <v>35</v>
      </c>
      <c r="C75" s="4" t="s">
        <v>36</v>
      </c>
      <c r="D75" s="4" t="s">
        <v>37</v>
      </c>
      <c r="E75" s="4" t="s">
        <v>629</v>
      </c>
      <c r="F75" s="4" t="s">
        <v>630</v>
      </c>
      <c r="G75" s="4" t="s">
        <v>623</v>
      </c>
      <c r="H75" s="4" t="s">
        <v>479</v>
      </c>
      <c r="I75" s="4" t="s">
        <v>631</v>
      </c>
      <c r="J75" s="4"/>
      <c r="K75" s="5"/>
      <c r="L75" s="5"/>
      <c r="M75" s="4" t="s">
        <v>44</v>
      </c>
      <c r="N75" s="4"/>
      <c r="O75" s="4"/>
      <c r="P75" s="4"/>
      <c r="Q75" s="4"/>
      <c r="R75" s="4"/>
      <c r="S75" s="4"/>
      <c r="T75" s="4"/>
      <c r="U75" s="4"/>
      <c r="V75" s="4"/>
      <c r="W75" s="4" t="s">
        <v>632</v>
      </c>
      <c r="X75" s="4"/>
      <c r="Y75" s="4" t="s">
        <v>627</v>
      </c>
      <c r="Z75" s="4" t="s">
        <v>633</v>
      </c>
      <c r="AA75" s="4" t="s">
        <v>53</v>
      </c>
      <c r="AB75" s="4" t="s">
        <v>53</v>
      </c>
      <c r="AC75" s="4" t="s">
        <v>53</v>
      </c>
      <c r="AD75" s="4" t="s">
        <v>53</v>
      </c>
      <c r="AE75" s="4" t="s">
        <v>53</v>
      </c>
      <c r="AF75" s="4" t="s">
        <v>53</v>
      </c>
      <c r="AG75" s="4" t="s">
        <v>53</v>
      </c>
      <c r="AH75" s="4" t="s">
        <v>53</v>
      </c>
      <c r="AI75" s="4" t="s">
        <v>53</v>
      </c>
    </row>
    <row r="76" customFormat="false" ht="46.25" hidden="false" customHeight="false" outlineLevel="0" collapsed="false">
      <c r="A76" s="2" t="n">
        <v>75</v>
      </c>
      <c r="B76" s="2" t="s">
        <v>35</v>
      </c>
      <c r="C76" s="2" t="s">
        <v>36</v>
      </c>
      <c r="D76" s="2" t="s">
        <v>37</v>
      </c>
      <c r="E76" s="2" t="s">
        <v>634</v>
      </c>
      <c r="F76" s="2" t="s">
        <v>372</v>
      </c>
      <c r="G76" s="2" t="s">
        <v>635</v>
      </c>
      <c r="H76" s="2" t="s">
        <v>636</v>
      </c>
      <c r="I76" s="2" t="s">
        <v>637</v>
      </c>
      <c r="J76" s="2"/>
      <c r="K76" s="3"/>
      <c r="L76" s="3"/>
      <c r="M76" s="2" t="s">
        <v>53</v>
      </c>
      <c r="N76" s="2" t="s">
        <v>13</v>
      </c>
      <c r="O76" s="2"/>
      <c r="P76" s="2"/>
      <c r="Q76" s="2" t="s">
        <v>638</v>
      </c>
      <c r="R76" s="2"/>
      <c r="S76" s="2" t="s">
        <v>639</v>
      </c>
      <c r="T76" s="2" t="s">
        <v>638</v>
      </c>
      <c r="U76" s="2" t="s">
        <v>640</v>
      </c>
      <c r="V76" s="2"/>
      <c r="W76" s="2" t="s">
        <v>641</v>
      </c>
      <c r="X76" s="2"/>
      <c r="Y76" s="2" t="s">
        <v>642</v>
      </c>
      <c r="Z76" s="2" t="s">
        <v>643</v>
      </c>
      <c r="AA76" s="2" t="s">
        <v>52</v>
      </c>
      <c r="AB76" s="2" t="s">
        <v>53</v>
      </c>
      <c r="AC76" s="2" t="s">
        <v>53</v>
      </c>
      <c r="AD76" s="2" t="s">
        <v>52</v>
      </c>
      <c r="AE76" s="2" t="s">
        <v>53</v>
      </c>
      <c r="AF76" s="2" t="s">
        <v>52</v>
      </c>
      <c r="AG76" s="2" t="s">
        <v>52</v>
      </c>
      <c r="AH76" s="2" t="s">
        <v>52</v>
      </c>
      <c r="AI76" s="2" t="s">
        <v>53</v>
      </c>
    </row>
    <row r="77" customFormat="false" ht="23.85" hidden="false" customHeight="false" outlineLevel="0" collapsed="false">
      <c r="A77" s="4" t="n">
        <v>76</v>
      </c>
      <c r="B77" s="4" t="s">
        <v>35</v>
      </c>
      <c r="C77" s="4" t="s">
        <v>36</v>
      </c>
      <c r="D77" s="4" t="s">
        <v>37</v>
      </c>
      <c r="E77" s="4" t="s">
        <v>644</v>
      </c>
      <c r="F77" s="4" t="s">
        <v>645</v>
      </c>
      <c r="G77" s="4" t="s">
        <v>646</v>
      </c>
      <c r="H77" s="4" t="s">
        <v>41</v>
      </c>
      <c r="I77" s="4" t="s">
        <v>530</v>
      </c>
      <c r="J77" s="4"/>
      <c r="K77" s="5"/>
      <c r="L77" s="5"/>
      <c r="M77" s="4" t="s">
        <v>58</v>
      </c>
      <c r="N77" s="4"/>
      <c r="O77" s="4"/>
      <c r="P77" s="4"/>
      <c r="Q77" s="4"/>
      <c r="R77" s="4"/>
      <c r="S77" s="4"/>
      <c r="T77" s="4" t="s">
        <v>647</v>
      </c>
      <c r="U77" s="4" t="s">
        <v>648</v>
      </c>
      <c r="V77" s="4"/>
      <c r="W77" s="4" t="s">
        <v>649</v>
      </c>
      <c r="X77" s="4"/>
      <c r="Y77" s="4" t="s">
        <v>642</v>
      </c>
      <c r="Z77" s="4" t="s">
        <v>650</v>
      </c>
      <c r="AA77" s="4" t="s">
        <v>53</v>
      </c>
      <c r="AB77" s="4" t="s">
        <v>53</v>
      </c>
      <c r="AC77" s="4" t="s">
        <v>53</v>
      </c>
      <c r="AD77" s="4" t="s">
        <v>53</v>
      </c>
      <c r="AE77" s="4" t="s">
        <v>53</v>
      </c>
      <c r="AF77" s="4" t="s">
        <v>53</v>
      </c>
      <c r="AG77" s="4" t="s">
        <v>52</v>
      </c>
      <c r="AH77" s="4" t="s">
        <v>52</v>
      </c>
      <c r="AI77" s="4" t="s">
        <v>53</v>
      </c>
    </row>
    <row r="78" customFormat="false" ht="23.85" hidden="false" customHeight="false" outlineLevel="0" collapsed="false">
      <c r="A78" s="2" t="n">
        <v>77</v>
      </c>
      <c r="B78" s="2" t="s">
        <v>35</v>
      </c>
      <c r="C78" s="2" t="s">
        <v>36</v>
      </c>
      <c r="D78" s="2" t="s">
        <v>37</v>
      </c>
      <c r="E78" s="2" t="s">
        <v>651</v>
      </c>
      <c r="F78" s="2" t="s">
        <v>652</v>
      </c>
      <c r="G78" s="2" t="s">
        <v>653</v>
      </c>
      <c r="H78" s="2" t="s">
        <v>186</v>
      </c>
      <c r="I78" s="2" t="s">
        <v>654</v>
      </c>
      <c r="J78" s="2"/>
      <c r="K78" s="3"/>
      <c r="L78" s="3"/>
      <c r="M78" s="2" t="s">
        <v>53</v>
      </c>
      <c r="N78" s="2"/>
      <c r="O78" s="2"/>
      <c r="P78" s="2"/>
      <c r="Q78" s="2"/>
      <c r="R78" s="2"/>
      <c r="S78" s="2"/>
      <c r="T78" s="2"/>
      <c r="U78" s="2"/>
      <c r="V78" s="2"/>
      <c r="W78" s="2" t="s">
        <v>349</v>
      </c>
      <c r="X78" s="2"/>
      <c r="Y78" s="2" t="s">
        <v>642</v>
      </c>
      <c r="Z78" s="2" t="s">
        <v>613</v>
      </c>
      <c r="AA78" s="2" t="s">
        <v>53</v>
      </c>
      <c r="AB78" s="2" t="s">
        <v>53</v>
      </c>
      <c r="AC78" s="2" t="s">
        <v>53</v>
      </c>
      <c r="AD78" s="2" t="s">
        <v>53</v>
      </c>
      <c r="AE78" s="2" t="s">
        <v>53</v>
      </c>
      <c r="AF78" s="2" t="s">
        <v>53</v>
      </c>
      <c r="AG78" s="2" t="s">
        <v>53</v>
      </c>
      <c r="AH78" s="2" t="s">
        <v>53</v>
      </c>
      <c r="AI78" s="2" t="s">
        <v>53</v>
      </c>
    </row>
    <row r="79" customFormat="false" ht="23.85" hidden="false" customHeight="false" outlineLevel="0" collapsed="false">
      <c r="A79" s="4" t="n">
        <v>78</v>
      </c>
      <c r="B79" s="4" t="s">
        <v>35</v>
      </c>
      <c r="C79" s="4" t="s">
        <v>36</v>
      </c>
      <c r="D79" s="4" t="s">
        <v>37</v>
      </c>
      <c r="E79" s="4" t="s">
        <v>655</v>
      </c>
      <c r="F79" s="4" t="s">
        <v>656</v>
      </c>
      <c r="G79" s="4" t="s">
        <v>657</v>
      </c>
      <c r="H79" s="4" t="s">
        <v>186</v>
      </c>
      <c r="I79" s="4" t="s">
        <v>658</v>
      </c>
      <c r="J79" s="4"/>
      <c r="K79" s="5"/>
      <c r="L79" s="5"/>
      <c r="M79" s="4" t="s">
        <v>53</v>
      </c>
      <c r="N79" s="4"/>
      <c r="O79" s="4"/>
      <c r="P79" s="4"/>
      <c r="Q79" s="4"/>
      <c r="R79" s="4"/>
      <c r="S79" s="4"/>
      <c r="T79" s="4"/>
      <c r="U79" s="4"/>
      <c r="V79" s="4"/>
      <c r="W79" s="4" t="s">
        <v>659</v>
      </c>
      <c r="X79" s="4"/>
      <c r="Y79" s="4" t="s">
        <v>660</v>
      </c>
      <c r="Z79" s="4" t="s">
        <v>628</v>
      </c>
      <c r="AA79" s="4" t="s">
        <v>53</v>
      </c>
      <c r="AB79" s="4" t="s">
        <v>53</v>
      </c>
      <c r="AC79" s="4" t="s">
        <v>53</v>
      </c>
      <c r="AD79" s="4" t="s">
        <v>53</v>
      </c>
      <c r="AE79" s="4" t="s">
        <v>53</v>
      </c>
      <c r="AF79" s="4" t="s">
        <v>53</v>
      </c>
      <c r="AG79" s="4" t="s">
        <v>53</v>
      </c>
      <c r="AH79" s="4" t="s">
        <v>53</v>
      </c>
      <c r="AI79" s="4" t="s">
        <v>53</v>
      </c>
    </row>
    <row r="80" customFormat="false" ht="23.85" hidden="false" customHeight="false" outlineLevel="0" collapsed="false">
      <c r="A80" s="2" t="n">
        <v>79</v>
      </c>
      <c r="B80" s="2" t="s">
        <v>35</v>
      </c>
      <c r="C80" s="2" t="s">
        <v>36</v>
      </c>
      <c r="D80" s="2" t="s">
        <v>37</v>
      </c>
      <c r="E80" s="2" t="s">
        <v>661</v>
      </c>
      <c r="F80" s="2" t="s">
        <v>487</v>
      </c>
      <c r="G80" s="2" t="s">
        <v>657</v>
      </c>
      <c r="H80" s="2" t="s">
        <v>186</v>
      </c>
      <c r="I80" s="2" t="s">
        <v>662</v>
      </c>
      <c r="J80" s="2" t="s">
        <v>663</v>
      </c>
      <c r="K80" s="3" t="n">
        <v>2180</v>
      </c>
      <c r="L80" s="3" t="n">
        <v>2180</v>
      </c>
      <c r="M80" s="2" t="s">
        <v>53</v>
      </c>
      <c r="N80" s="2"/>
      <c r="O80" s="2"/>
      <c r="P80" s="2"/>
      <c r="Q80" s="2" t="s">
        <v>664</v>
      </c>
      <c r="R80" s="2"/>
      <c r="S80" s="2"/>
      <c r="T80" s="2" t="s">
        <v>665</v>
      </c>
      <c r="U80" s="2"/>
      <c r="V80" s="2" t="s">
        <v>492</v>
      </c>
      <c r="W80" s="2" t="s">
        <v>139</v>
      </c>
      <c r="X80" s="2"/>
      <c r="Y80" s="2" t="s">
        <v>660</v>
      </c>
      <c r="Z80" s="2" t="s">
        <v>666</v>
      </c>
      <c r="AA80" s="2" t="s">
        <v>53</v>
      </c>
      <c r="AB80" s="2" t="s">
        <v>53</v>
      </c>
      <c r="AC80" s="2" t="s">
        <v>53</v>
      </c>
      <c r="AD80" s="2" t="s">
        <v>52</v>
      </c>
      <c r="AE80" s="2" t="s">
        <v>53</v>
      </c>
      <c r="AF80" s="2" t="s">
        <v>53</v>
      </c>
      <c r="AG80" s="2" t="s">
        <v>52</v>
      </c>
      <c r="AH80" s="2" t="s">
        <v>53</v>
      </c>
      <c r="AI80" s="2" t="s">
        <v>52</v>
      </c>
    </row>
    <row r="81" customFormat="false" ht="68.65" hidden="false" customHeight="false" outlineLevel="0" collapsed="false">
      <c r="A81" s="4" t="n">
        <v>80</v>
      </c>
      <c r="B81" s="4" t="s">
        <v>35</v>
      </c>
      <c r="C81" s="4" t="s">
        <v>36</v>
      </c>
      <c r="D81" s="4" t="s">
        <v>37</v>
      </c>
      <c r="E81" s="4" t="s">
        <v>667</v>
      </c>
      <c r="F81" s="4" t="s">
        <v>302</v>
      </c>
      <c r="G81" s="4" t="s">
        <v>657</v>
      </c>
      <c r="H81" s="4" t="s">
        <v>479</v>
      </c>
      <c r="I81" s="4" t="s">
        <v>668</v>
      </c>
      <c r="J81" s="4"/>
      <c r="K81" s="5"/>
      <c r="L81" s="5"/>
      <c r="M81" s="4" t="s">
        <v>44</v>
      </c>
      <c r="N81" s="4"/>
      <c r="O81" s="4"/>
      <c r="P81" s="4"/>
      <c r="Q81" s="4"/>
      <c r="R81" s="4"/>
      <c r="S81" s="4"/>
      <c r="T81" s="4"/>
      <c r="U81" s="4" t="s">
        <v>669</v>
      </c>
      <c r="V81" s="4"/>
      <c r="W81" s="4" t="s">
        <v>670</v>
      </c>
      <c r="X81" s="4"/>
      <c r="Y81" s="4" t="s">
        <v>660</v>
      </c>
      <c r="Z81" s="4" t="s">
        <v>547</v>
      </c>
      <c r="AA81" s="4" t="s">
        <v>53</v>
      </c>
      <c r="AB81" s="4" t="s">
        <v>53</v>
      </c>
      <c r="AC81" s="4" t="s">
        <v>53</v>
      </c>
      <c r="AD81" s="4" t="s">
        <v>53</v>
      </c>
      <c r="AE81" s="4" t="s">
        <v>53</v>
      </c>
      <c r="AF81" s="4" t="s">
        <v>53</v>
      </c>
      <c r="AG81" s="4" t="s">
        <v>53</v>
      </c>
      <c r="AH81" s="4" t="s">
        <v>52</v>
      </c>
      <c r="AI81" s="4" t="s">
        <v>53</v>
      </c>
    </row>
    <row r="82" customFormat="false" ht="23.85" hidden="false" customHeight="false" outlineLevel="0" collapsed="false">
      <c r="A82" s="2" t="n">
        <v>81</v>
      </c>
      <c r="B82" s="2" t="s">
        <v>35</v>
      </c>
      <c r="C82" s="2" t="s">
        <v>36</v>
      </c>
      <c r="D82" s="2" t="s">
        <v>37</v>
      </c>
      <c r="E82" s="2" t="s">
        <v>671</v>
      </c>
      <c r="F82" s="2" t="s">
        <v>519</v>
      </c>
      <c r="G82" s="2" t="s">
        <v>657</v>
      </c>
      <c r="H82" s="2" t="s">
        <v>186</v>
      </c>
      <c r="I82" s="2" t="s">
        <v>672</v>
      </c>
      <c r="J82" s="2"/>
      <c r="K82" s="3"/>
      <c r="L82" s="3"/>
      <c r="M82" s="2" t="s">
        <v>53</v>
      </c>
      <c r="N82" s="2" t="s">
        <v>13</v>
      </c>
      <c r="O82" s="2"/>
      <c r="P82" s="2"/>
      <c r="Q82" s="2"/>
      <c r="R82" s="2"/>
      <c r="S82" s="2"/>
      <c r="T82" s="2" t="s">
        <v>592</v>
      </c>
      <c r="U82" s="2" t="s">
        <v>673</v>
      </c>
      <c r="V82" s="2"/>
      <c r="W82" s="2" t="s">
        <v>674</v>
      </c>
      <c r="X82" s="2"/>
      <c r="Y82" s="2" t="s">
        <v>660</v>
      </c>
      <c r="Z82" s="2" t="s">
        <v>141</v>
      </c>
      <c r="AA82" s="2" t="s">
        <v>52</v>
      </c>
      <c r="AB82" s="2" t="s">
        <v>53</v>
      </c>
      <c r="AC82" s="2" t="s">
        <v>53</v>
      </c>
      <c r="AD82" s="2" t="s">
        <v>53</v>
      </c>
      <c r="AE82" s="2" t="s">
        <v>53</v>
      </c>
      <c r="AF82" s="2" t="s">
        <v>53</v>
      </c>
      <c r="AG82" s="2" t="s">
        <v>52</v>
      </c>
      <c r="AH82" s="2" t="s">
        <v>52</v>
      </c>
      <c r="AI82" s="2" t="s">
        <v>53</v>
      </c>
    </row>
    <row r="83" customFormat="false" ht="35.05" hidden="false" customHeight="false" outlineLevel="0" collapsed="false">
      <c r="A83" s="4" t="n">
        <v>82</v>
      </c>
      <c r="B83" s="4" t="s">
        <v>35</v>
      </c>
      <c r="C83" s="4" t="s">
        <v>36</v>
      </c>
      <c r="D83" s="4" t="s">
        <v>37</v>
      </c>
      <c r="E83" s="4" t="s">
        <v>675</v>
      </c>
      <c r="F83" s="4" t="s">
        <v>676</v>
      </c>
      <c r="G83" s="4" t="s">
        <v>657</v>
      </c>
      <c r="H83" s="4" t="s">
        <v>479</v>
      </c>
      <c r="I83" s="4" t="s">
        <v>677</v>
      </c>
      <c r="J83" s="4" t="s">
        <v>678</v>
      </c>
      <c r="K83" s="5" t="n">
        <v>1575</v>
      </c>
      <c r="L83" s="5" t="n">
        <v>1575</v>
      </c>
      <c r="M83" s="4" t="s">
        <v>44</v>
      </c>
      <c r="N83" s="4"/>
      <c r="O83" s="4"/>
      <c r="P83" s="4"/>
      <c r="Q83" s="4"/>
      <c r="R83" s="4"/>
      <c r="S83" s="4"/>
      <c r="T83" s="4" t="s">
        <v>592</v>
      </c>
      <c r="U83" s="4" t="s">
        <v>469</v>
      </c>
      <c r="V83" s="4"/>
      <c r="W83" s="4" t="s">
        <v>679</v>
      </c>
      <c r="X83" s="4" t="s">
        <v>680</v>
      </c>
      <c r="Y83" s="4" t="s">
        <v>660</v>
      </c>
      <c r="Z83" s="4" t="s">
        <v>681</v>
      </c>
      <c r="AA83" s="4" t="s">
        <v>53</v>
      </c>
      <c r="AB83" s="4" t="s">
        <v>53</v>
      </c>
      <c r="AC83" s="4" t="s">
        <v>53</v>
      </c>
      <c r="AD83" s="4" t="s">
        <v>53</v>
      </c>
      <c r="AE83" s="4" t="s">
        <v>53</v>
      </c>
      <c r="AF83" s="4" t="s">
        <v>53</v>
      </c>
      <c r="AG83" s="4" t="s">
        <v>52</v>
      </c>
      <c r="AH83" s="4" t="s">
        <v>52</v>
      </c>
      <c r="AI83" s="4" t="s">
        <v>53</v>
      </c>
    </row>
    <row r="84" customFormat="false" ht="35.05" hidden="false" customHeight="false" outlineLevel="0" collapsed="false">
      <c r="A84" s="2" t="n">
        <v>83</v>
      </c>
      <c r="B84" s="2" t="s">
        <v>35</v>
      </c>
      <c r="C84" s="2" t="s">
        <v>36</v>
      </c>
      <c r="D84" s="2" t="s">
        <v>37</v>
      </c>
      <c r="E84" s="2" t="s">
        <v>682</v>
      </c>
      <c r="F84" s="2" t="s">
        <v>683</v>
      </c>
      <c r="G84" s="2" t="s">
        <v>684</v>
      </c>
      <c r="H84" s="2" t="s">
        <v>479</v>
      </c>
      <c r="I84" s="2" t="s">
        <v>685</v>
      </c>
      <c r="J84" s="2"/>
      <c r="K84" s="3"/>
      <c r="L84" s="3"/>
      <c r="M84" s="2" t="s">
        <v>44</v>
      </c>
      <c r="N84" s="2"/>
      <c r="O84" s="2"/>
      <c r="P84" s="2"/>
      <c r="Q84" s="2"/>
      <c r="R84" s="2"/>
      <c r="S84" s="2" t="s">
        <v>686</v>
      </c>
      <c r="T84" s="2"/>
      <c r="U84" s="2" t="s">
        <v>687</v>
      </c>
      <c r="V84" s="2"/>
      <c r="W84" s="2" t="s">
        <v>493</v>
      </c>
      <c r="X84" s="2"/>
      <c r="Y84" s="2"/>
      <c r="Z84" s="2" t="s">
        <v>666</v>
      </c>
      <c r="AA84" s="2" t="s">
        <v>53</v>
      </c>
      <c r="AB84" s="2" t="s">
        <v>53</v>
      </c>
      <c r="AC84" s="2" t="s">
        <v>53</v>
      </c>
      <c r="AD84" s="2" t="s">
        <v>53</v>
      </c>
      <c r="AE84" s="2" t="s">
        <v>53</v>
      </c>
      <c r="AF84" s="2" t="s">
        <v>52</v>
      </c>
      <c r="AG84" s="2" t="s">
        <v>53</v>
      </c>
      <c r="AH84" s="2" t="s">
        <v>52</v>
      </c>
      <c r="AI84" s="2" t="s">
        <v>53</v>
      </c>
    </row>
    <row r="85" customFormat="false" ht="23.85" hidden="false" customHeight="false" outlineLevel="0" collapsed="false">
      <c r="A85" s="4" t="n">
        <v>84</v>
      </c>
      <c r="B85" s="4" t="s">
        <v>35</v>
      </c>
      <c r="C85" s="4" t="s">
        <v>36</v>
      </c>
      <c r="D85" s="4" t="s">
        <v>37</v>
      </c>
      <c r="E85" s="4" t="s">
        <v>688</v>
      </c>
      <c r="F85" s="4" t="s">
        <v>130</v>
      </c>
      <c r="G85" s="4" t="s">
        <v>689</v>
      </c>
      <c r="H85" s="4" t="s">
        <v>186</v>
      </c>
      <c r="I85" s="4" t="s">
        <v>690</v>
      </c>
      <c r="J85" s="4"/>
      <c r="K85" s="5"/>
      <c r="L85" s="5"/>
      <c r="M85" s="4" t="s">
        <v>53</v>
      </c>
      <c r="N85" s="4" t="s">
        <v>13</v>
      </c>
      <c r="O85" s="4"/>
      <c r="P85" s="4"/>
      <c r="Q85" s="4"/>
      <c r="R85" s="4"/>
      <c r="S85" s="4" t="s">
        <v>159</v>
      </c>
      <c r="T85" s="4" t="s">
        <v>691</v>
      </c>
      <c r="U85" s="4" t="s">
        <v>692</v>
      </c>
      <c r="V85" s="4"/>
      <c r="W85" s="4" t="s">
        <v>693</v>
      </c>
      <c r="X85" s="4"/>
      <c r="Y85" s="4"/>
      <c r="Z85" s="4" t="s">
        <v>694</v>
      </c>
      <c r="AA85" s="4" t="s">
        <v>52</v>
      </c>
      <c r="AB85" s="4" t="s">
        <v>53</v>
      </c>
      <c r="AC85" s="4" t="s">
        <v>53</v>
      </c>
      <c r="AD85" s="4" t="s">
        <v>53</v>
      </c>
      <c r="AE85" s="4" t="s">
        <v>53</v>
      </c>
      <c r="AF85" s="4" t="s">
        <v>52</v>
      </c>
      <c r="AG85" s="4" t="s">
        <v>52</v>
      </c>
      <c r="AH85" s="4" t="s">
        <v>52</v>
      </c>
      <c r="AI85" s="4" t="s">
        <v>53</v>
      </c>
    </row>
    <row r="86" customFormat="false" ht="35.05" hidden="false" customHeight="false" outlineLevel="0" collapsed="false">
      <c r="A86" s="2" t="n">
        <v>85</v>
      </c>
      <c r="B86" s="2" t="s">
        <v>35</v>
      </c>
      <c r="C86" s="2" t="s">
        <v>36</v>
      </c>
      <c r="D86" s="2" t="s">
        <v>37</v>
      </c>
      <c r="E86" s="2" t="s">
        <v>695</v>
      </c>
      <c r="F86" s="2" t="s">
        <v>696</v>
      </c>
      <c r="G86" s="2" t="s">
        <v>697</v>
      </c>
      <c r="H86" s="2" t="s">
        <v>186</v>
      </c>
      <c r="I86" s="2" t="s">
        <v>698</v>
      </c>
      <c r="J86" s="2"/>
      <c r="K86" s="3"/>
      <c r="L86" s="3"/>
      <c r="M86" s="2" t="s">
        <v>53</v>
      </c>
      <c r="N86" s="2"/>
      <c r="O86" s="2"/>
      <c r="P86" s="2"/>
      <c r="Q86" s="2"/>
      <c r="R86" s="2"/>
      <c r="S86" s="2"/>
      <c r="T86" s="2"/>
      <c r="U86" s="2" t="s">
        <v>699</v>
      </c>
      <c r="V86" s="2"/>
      <c r="W86" s="2" t="s">
        <v>700</v>
      </c>
      <c r="X86" s="2"/>
      <c r="Y86" s="2"/>
      <c r="Z86" s="2" t="s">
        <v>701</v>
      </c>
      <c r="AA86" s="2" t="s">
        <v>53</v>
      </c>
      <c r="AB86" s="2" t="s">
        <v>53</v>
      </c>
      <c r="AC86" s="2" t="s">
        <v>53</v>
      </c>
      <c r="AD86" s="2" t="s">
        <v>53</v>
      </c>
      <c r="AE86" s="2" t="s">
        <v>53</v>
      </c>
      <c r="AF86" s="2" t="s">
        <v>53</v>
      </c>
      <c r="AG86" s="2" t="s">
        <v>53</v>
      </c>
      <c r="AH86" s="2" t="s">
        <v>52</v>
      </c>
      <c r="AI86" s="2" t="s">
        <v>53</v>
      </c>
    </row>
    <row r="87" customFormat="false" ht="23.85" hidden="false" customHeight="false" outlineLevel="0" collapsed="false">
      <c r="A87" s="4" t="n">
        <v>86</v>
      </c>
      <c r="B87" s="4" t="s">
        <v>35</v>
      </c>
      <c r="C87" s="4" t="s">
        <v>36</v>
      </c>
      <c r="D87" s="4" t="s">
        <v>37</v>
      </c>
      <c r="E87" s="4" t="s">
        <v>702</v>
      </c>
      <c r="F87" s="4" t="s">
        <v>702</v>
      </c>
      <c r="G87" s="4" t="s">
        <v>703</v>
      </c>
      <c r="H87" s="4" t="s">
        <v>479</v>
      </c>
      <c r="I87" s="4" t="s">
        <v>704</v>
      </c>
      <c r="J87" s="4"/>
      <c r="K87" s="5"/>
      <c r="L87" s="5"/>
      <c r="M87" s="4" t="s">
        <v>44</v>
      </c>
      <c r="N87" s="4"/>
      <c r="O87" s="4"/>
      <c r="P87" s="4"/>
      <c r="Q87" s="4"/>
      <c r="R87" s="4"/>
      <c r="S87" s="4"/>
      <c r="T87" s="4" t="s">
        <v>705</v>
      </c>
      <c r="U87" s="4" t="s">
        <v>706</v>
      </c>
      <c r="V87" s="4"/>
      <c r="W87" s="4" t="s">
        <v>707</v>
      </c>
      <c r="X87" s="4"/>
      <c r="Y87" s="4" t="s">
        <v>708</v>
      </c>
      <c r="Z87" s="4" t="s">
        <v>709</v>
      </c>
      <c r="AA87" s="4" t="s">
        <v>53</v>
      </c>
      <c r="AB87" s="4" t="s">
        <v>53</v>
      </c>
      <c r="AC87" s="4" t="s">
        <v>53</v>
      </c>
      <c r="AD87" s="4" t="s">
        <v>53</v>
      </c>
      <c r="AE87" s="4" t="s">
        <v>53</v>
      </c>
      <c r="AF87" s="4" t="s">
        <v>53</v>
      </c>
      <c r="AG87" s="4" t="s">
        <v>52</v>
      </c>
      <c r="AH87" s="4" t="s">
        <v>52</v>
      </c>
      <c r="AI87" s="4" t="s">
        <v>53</v>
      </c>
    </row>
    <row r="88" customFormat="false" ht="23.85" hidden="false" customHeight="false" outlineLevel="0" collapsed="false">
      <c r="A88" s="2" t="n">
        <v>87</v>
      </c>
      <c r="B88" s="2" t="s">
        <v>35</v>
      </c>
      <c r="C88" s="2" t="s">
        <v>36</v>
      </c>
      <c r="D88" s="2" t="s">
        <v>37</v>
      </c>
      <c r="E88" s="2" t="s">
        <v>710</v>
      </c>
      <c r="F88" s="2" t="s">
        <v>487</v>
      </c>
      <c r="G88" s="2" t="s">
        <v>464</v>
      </c>
      <c r="H88" s="2" t="s">
        <v>186</v>
      </c>
      <c r="I88" s="2" t="s">
        <v>711</v>
      </c>
      <c r="J88" s="2" t="s">
        <v>712</v>
      </c>
      <c r="K88" s="3" t="n">
        <v>2315</v>
      </c>
      <c r="L88" s="3" t="n">
        <v>2315</v>
      </c>
      <c r="M88" s="2" t="s">
        <v>53</v>
      </c>
      <c r="N88" s="2"/>
      <c r="O88" s="2"/>
      <c r="P88" s="2" t="s">
        <v>713</v>
      </c>
      <c r="Q88" s="2" t="s">
        <v>714</v>
      </c>
      <c r="R88" s="2"/>
      <c r="S88" s="2"/>
      <c r="T88" s="2" t="s">
        <v>715</v>
      </c>
      <c r="U88" s="2"/>
      <c r="V88" s="2" t="s">
        <v>492</v>
      </c>
      <c r="W88" s="2" t="s">
        <v>716</v>
      </c>
      <c r="X88" s="2"/>
      <c r="Y88" s="2" t="s">
        <v>717</v>
      </c>
      <c r="Z88" s="2" t="s">
        <v>153</v>
      </c>
      <c r="AA88" s="2" t="s">
        <v>53</v>
      </c>
      <c r="AB88" s="2" t="s">
        <v>53</v>
      </c>
      <c r="AC88" s="2" t="s">
        <v>52</v>
      </c>
      <c r="AD88" s="2" t="s">
        <v>52</v>
      </c>
      <c r="AE88" s="2" t="s">
        <v>53</v>
      </c>
      <c r="AF88" s="2" t="s">
        <v>53</v>
      </c>
      <c r="AG88" s="2" t="s">
        <v>52</v>
      </c>
      <c r="AH88" s="2" t="s">
        <v>53</v>
      </c>
      <c r="AI88" s="2" t="s">
        <v>52</v>
      </c>
    </row>
    <row r="89" customFormat="false" ht="23.85" hidden="false" customHeight="false" outlineLevel="0" collapsed="false">
      <c r="A89" s="4" t="n">
        <v>88</v>
      </c>
      <c r="B89" s="4" t="s">
        <v>35</v>
      </c>
      <c r="C89" s="4" t="s">
        <v>36</v>
      </c>
      <c r="D89" s="4" t="s">
        <v>37</v>
      </c>
      <c r="E89" s="4" t="s">
        <v>718</v>
      </c>
      <c r="F89" s="4" t="s">
        <v>719</v>
      </c>
      <c r="G89" s="4" t="s">
        <v>720</v>
      </c>
      <c r="H89" s="4" t="s">
        <v>479</v>
      </c>
      <c r="I89" s="4" t="s">
        <v>721</v>
      </c>
      <c r="J89" s="4"/>
      <c r="K89" s="5"/>
      <c r="L89" s="5"/>
      <c r="M89" s="4" t="s">
        <v>44</v>
      </c>
      <c r="N89" s="4"/>
      <c r="O89" s="4"/>
      <c r="P89" s="4"/>
      <c r="Q89" s="4"/>
      <c r="R89" s="4"/>
      <c r="S89" s="4"/>
      <c r="T89" s="4" t="s">
        <v>592</v>
      </c>
      <c r="U89" s="4" t="s">
        <v>722</v>
      </c>
      <c r="V89" s="4"/>
      <c r="W89" s="4" t="s">
        <v>532</v>
      </c>
      <c r="X89" s="4"/>
      <c r="Y89" s="4" t="s">
        <v>717</v>
      </c>
      <c r="Z89" s="4" t="s">
        <v>723</v>
      </c>
      <c r="AA89" s="4" t="s">
        <v>53</v>
      </c>
      <c r="AB89" s="4" t="s">
        <v>53</v>
      </c>
      <c r="AC89" s="4" t="s">
        <v>53</v>
      </c>
      <c r="AD89" s="4" t="s">
        <v>53</v>
      </c>
      <c r="AE89" s="4" t="s">
        <v>53</v>
      </c>
      <c r="AF89" s="4" t="s">
        <v>53</v>
      </c>
      <c r="AG89" s="4" t="s">
        <v>52</v>
      </c>
      <c r="AH89" s="4" t="s">
        <v>52</v>
      </c>
      <c r="AI89" s="4" t="s">
        <v>53</v>
      </c>
    </row>
    <row r="90" customFormat="false" ht="23.85" hidden="false" customHeight="false" outlineLevel="0" collapsed="false">
      <c r="A90" s="2" t="n">
        <v>89</v>
      </c>
      <c r="B90" s="2" t="s">
        <v>35</v>
      </c>
      <c r="C90" s="2" t="s">
        <v>36</v>
      </c>
      <c r="D90" s="2" t="s">
        <v>37</v>
      </c>
      <c r="E90" s="2" t="s">
        <v>724</v>
      </c>
      <c r="F90" s="2" t="s">
        <v>39</v>
      </c>
      <c r="G90" s="2" t="s">
        <v>725</v>
      </c>
      <c r="H90" s="2" t="s">
        <v>479</v>
      </c>
      <c r="I90" s="2" t="s">
        <v>726</v>
      </c>
      <c r="J90" s="2"/>
      <c r="K90" s="3"/>
      <c r="L90" s="3"/>
      <c r="M90" s="2" t="s">
        <v>44</v>
      </c>
      <c r="N90" s="2"/>
      <c r="O90" s="2"/>
      <c r="P90" s="2"/>
      <c r="Q90" s="2"/>
      <c r="R90" s="2"/>
      <c r="S90" s="2" t="s">
        <v>48</v>
      </c>
      <c r="T90" s="2" t="s">
        <v>396</v>
      </c>
      <c r="U90" s="2" t="s">
        <v>727</v>
      </c>
      <c r="V90" s="2"/>
      <c r="W90" s="2" t="s">
        <v>728</v>
      </c>
      <c r="X90" s="2"/>
      <c r="Y90" s="2" t="s">
        <v>717</v>
      </c>
      <c r="Z90" s="2" t="s">
        <v>729</v>
      </c>
      <c r="AA90" s="2" t="s">
        <v>53</v>
      </c>
      <c r="AB90" s="2" t="s">
        <v>53</v>
      </c>
      <c r="AC90" s="2" t="s">
        <v>53</v>
      </c>
      <c r="AD90" s="2" t="s">
        <v>53</v>
      </c>
      <c r="AE90" s="2" t="s">
        <v>53</v>
      </c>
      <c r="AF90" s="2" t="s">
        <v>52</v>
      </c>
      <c r="AG90" s="2" t="s">
        <v>52</v>
      </c>
      <c r="AH90" s="2" t="s">
        <v>52</v>
      </c>
      <c r="AI90" s="2" t="s">
        <v>53</v>
      </c>
    </row>
    <row r="91" customFormat="false" ht="23.85" hidden="false" customHeight="false" outlineLevel="0" collapsed="false">
      <c r="A91" s="4" t="n">
        <v>90</v>
      </c>
      <c r="B91" s="4" t="s">
        <v>35</v>
      </c>
      <c r="C91" s="4" t="s">
        <v>36</v>
      </c>
      <c r="D91" s="4" t="s">
        <v>37</v>
      </c>
      <c r="E91" s="4" t="s">
        <v>730</v>
      </c>
      <c r="F91" s="4" t="s">
        <v>731</v>
      </c>
      <c r="G91" s="4" t="s">
        <v>720</v>
      </c>
      <c r="H91" s="4" t="s">
        <v>41</v>
      </c>
      <c r="I91" s="4" t="s">
        <v>732</v>
      </c>
      <c r="J91" s="4"/>
      <c r="K91" s="5"/>
      <c r="L91" s="5"/>
      <c r="M91" s="4" t="s">
        <v>58</v>
      </c>
      <c r="N91" s="4"/>
      <c r="O91" s="4"/>
      <c r="P91" s="4"/>
      <c r="Q91" s="4"/>
      <c r="R91" s="4"/>
      <c r="S91" s="4" t="s">
        <v>733</v>
      </c>
      <c r="T91" s="4" t="s">
        <v>592</v>
      </c>
      <c r="U91" s="4" t="s">
        <v>734</v>
      </c>
      <c r="V91" s="4"/>
      <c r="W91" s="4" t="s">
        <v>735</v>
      </c>
      <c r="X91" s="4"/>
      <c r="Y91" s="4"/>
      <c r="Z91" s="4" t="s">
        <v>736</v>
      </c>
      <c r="AA91" s="4" t="s">
        <v>53</v>
      </c>
      <c r="AB91" s="4" t="s">
        <v>53</v>
      </c>
      <c r="AC91" s="4" t="s">
        <v>53</v>
      </c>
      <c r="AD91" s="4" t="s">
        <v>53</v>
      </c>
      <c r="AE91" s="4" t="s">
        <v>53</v>
      </c>
      <c r="AF91" s="4" t="s">
        <v>52</v>
      </c>
      <c r="AG91" s="4" t="s">
        <v>52</v>
      </c>
      <c r="AH91" s="4" t="s">
        <v>52</v>
      </c>
      <c r="AI91" s="4" t="s">
        <v>53</v>
      </c>
    </row>
    <row r="92" customFormat="false" ht="23.85" hidden="false" customHeight="false" outlineLevel="0" collapsed="false">
      <c r="A92" s="2" t="n">
        <v>91</v>
      </c>
      <c r="B92" s="2" t="s">
        <v>35</v>
      </c>
      <c r="C92" s="2" t="s">
        <v>36</v>
      </c>
      <c r="D92" s="2" t="s">
        <v>37</v>
      </c>
      <c r="E92" s="2" t="s">
        <v>737</v>
      </c>
      <c r="F92" s="2" t="s">
        <v>519</v>
      </c>
      <c r="G92" s="2" t="s">
        <v>464</v>
      </c>
      <c r="H92" s="2" t="s">
        <v>738</v>
      </c>
      <c r="I92" s="2" t="s">
        <v>739</v>
      </c>
      <c r="J92" s="2" t="s">
        <v>740</v>
      </c>
      <c r="K92" s="3" t="n">
        <v>1865</v>
      </c>
      <c r="L92" s="3" t="n">
        <v>1865</v>
      </c>
      <c r="M92" s="2" t="s">
        <v>53</v>
      </c>
      <c r="N92" s="2" t="s">
        <v>13</v>
      </c>
      <c r="O92" s="2"/>
      <c r="P92" s="2"/>
      <c r="Q92" s="2"/>
      <c r="R92" s="2"/>
      <c r="S92" s="2"/>
      <c r="T92" s="2" t="s">
        <v>592</v>
      </c>
      <c r="U92" s="2" t="s">
        <v>741</v>
      </c>
      <c r="V92" s="2"/>
      <c r="W92" s="2"/>
      <c r="X92" s="2"/>
      <c r="Y92" s="2"/>
      <c r="Z92" s="2" t="s">
        <v>109</v>
      </c>
      <c r="AA92" s="2" t="s">
        <v>52</v>
      </c>
      <c r="AB92" s="2" t="s">
        <v>53</v>
      </c>
      <c r="AC92" s="2" t="s">
        <v>53</v>
      </c>
      <c r="AD92" s="2" t="s">
        <v>53</v>
      </c>
      <c r="AE92" s="2" t="s">
        <v>53</v>
      </c>
      <c r="AF92" s="2" t="s">
        <v>53</v>
      </c>
      <c r="AG92" s="2" t="s">
        <v>52</v>
      </c>
      <c r="AH92" s="2" t="s">
        <v>52</v>
      </c>
      <c r="AI92" s="2" t="s">
        <v>53</v>
      </c>
    </row>
    <row r="93" customFormat="false" ht="23.85" hidden="false" customHeight="false" outlineLevel="0" collapsed="false">
      <c r="A93" s="4" t="n">
        <v>92</v>
      </c>
      <c r="B93" s="4" t="s">
        <v>35</v>
      </c>
      <c r="C93" s="4" t="s">
        <v>36</v>
      </c>
      <c r="D93" s="4" t="s">
        <v>37</v>
      </c>
      <c r="E93" s="4" t="s">
        <v>742</v>
      </c>
      <c r="F93" s="4" t="s">
        <v>528</v>
      </c>
      <c r="G93" s="4" t="s">
        <v>464</v>
      </c>
      <c r="H93" s="4" t="s">
        <v>738</v>
      </c>
      <c r="I93" s="4" t="s">
        <v>743</v>
      </c>
      <c r="J93" s="4"/>
      <c r="K93" s="5"/>
      <c r="L93" s="5"/>
      <c r="M93" s="4" t="s">
        <v>53</v>
      </c>
      <c r="N93" s="4" t="s">
        <v>13</v>
      </c>
      <c r="O93" s="4"/>
      <c r="P93" s="4" t="s">
        <v>60</v>
      </c>
      <c r="Q93" s="4" t="s">
        <v>744</v>
      </c>
      <c r="R93" s="4"/>
      <c r="S93" s="4" t="s">
        <v>48</v>
      </c>
      <c r="T93" s="4"/>
      <c r="U93" s="4" t="s">
        <v>745</v>
      </c>
      <c r="V93" s="4"/>
      <c r="W93" s="4" t="s">
        <v>746</v>
      </c>
      <c r="X93" s="4"/>
      <c r="Y93" s="4"/>
      <c r="Z93" s="4" t="s">
        <v>526</v>
      </c>
      <c r="AA93" s="4" t="s">
        <v>52</v>
      </c>
      <c r="AB93" s="4" t="s">
        <v>53</v>
      </c>
      <c r="AC93" s="4" t="s">
        <v>52</v>
      </c>
      <c r="AD93" s="4" t="s">
        <v>52</v>
      </c>
      <c r="AE93" s="4" t="s">
        <v>53</v>
      </c>
      <c r="AF93" s="4" t="s">
        <v>52</v>
      </c>
      <c r="AG93" s="4" t="s">
        <v>53</v>
      </c>
      <c r="AH93" s="4" t="s">
        <v>52</v>
      </c>
      <c r="AI93" s="4" t="s">
        <v>53</v>
      </c>
    </row>
    <row r="94" customFormat="false" ht="23.85" hidden="false" customHeight="false" outlineLevel="0" collapsed="false">
      <c r="A94" s="2" t="n">
        <v>93</v>
      </c>
      <c r="B94" s="2" t="s">
        <v>35</v>
      </c>
      <c r="C94" s="2" t="s">
        <v>36</v>
      </c>
      <c r="D94" s="2" t="s">
        <v>37</v>
      </c>
      <c r="E94" s="2" t="s">
        <v>747</v>
      </c>
      <c r="F94" s="2" t="s">
        <v>519</v>
      </c>
      <c r="G94" s="2" t="s">
        <v>748</v>
      </c>
      <c r="H94" s="2" t="s">
        <v>749</v>
      </c>
      <c r="I94" s="2" t="s">
        <v>557</v>
      </c>
      <c r="J94" s="2" t="s">
        <v>750</v>
      </c>
      <c r="K94" s="3" t="n">
        <v>1323</v>
      </c>
      <c r="L94" s="3" t="n">
        <v>1323</v>
      </c>
      <c r="M94" s="2" t="s">
        <v>53</v>
      </c>
      <c r="N94" s="2" t="s">
        <v>13</v>
      </c>
      <c r="O94" s="2"/>
      <c r="P94" s="2"/>
      <c r="Q94" s="2"/>
      <c r="R94" s="2"/>
      <c r="S94" s="2"/>
      <c r="T94" s="2"/>
      <c r="U94" s="2" t="s">
        <v>741</v>
      </c>
      <c r="V94" s="2"/>
      <c r="W94" s="2" t="s">
        <v>493</v>
      </c>
      <c r="X94" s="2"/>
      <c r="Y94" s="2"/>
      <c r="Z94" s="2" t="s">
        <v>511</v>
      </c>
      <c r="AA94" s="2" t="s">
        <v>52</v>
      </c>
      <c r="AB94" s="2" t="s">
        <v>53</v>
      </c>
      <c r="AC94" s="2" t="s">
        <v>53</v>
      </c>
      <c r="AD94" s="2" t="s">
        <v>53</v>
      </c>
      <c r="AE94" s="2" t="s">
        <v>53</v>
      </c>
      <c r="AF94" s="2" t="s">
        <v>53</v>
      </c>
      <c r="AG94" s="2" t="s">
        <v>53</v>
      </c>
      <c r="AH94" s="2" t="s">
        <v>52</v>
      </c>
      <c r="AI94" s="2" t="s">
        <v>53</v>
      </c>
    </row>
    <row r="95" customFormat="false" ht="23.85" hidden="false" customHeight="false" outlineLevel="0" collapsed="false">
      <c r="A95" s="4" t="n">
        <v>94</v>
      </c>
      <c r="B95" s="4" t="s">
        <v>35</v>
      </c>
      <c r="C95" s="4" t="s">
        <v>36</v>
      </c>
      <c r="D95" s="4" t="s">
        <v>37</v>
      </c>
      <c r="E95" s="4" t="s">
        <v>751</v>
      </c>
      <c r="F95" s="4" t="s">
        <v>752</v>
      </c>
      <c r="G95" s="4" t="s">
        <v>753</v>
      </c>
      <c r="H95" s="4" t="s">
        <v>479</v>
      </c>
      <c r="I95" s="4" t="s">
        <v>754</v>
      </c>
      <c r="J95" s="4"/>
      <c r="K95" s="5"/>
      <c r="L95" s="5"/>
      <c r="M95" s="4" t="s">
        <v>44</v>
      </c>
      <c r="N95" s="4" t="s">
        <v>13</v>
      </c>
      <c r="O95" s="4"/>
      <c r="P95" s="4"/>
      <c r="Q95" s="4"/>
      <c r="R95" s="4"/>
      <c r="S95" s="4" t="s">
        <v>755</v>
      </c>
      <c r="T95" s="4"/>
      <c r="U95" s="4" t="s">
        <v>756</v>
      </c>
      <c r="V95" s="4"/>
      <c r="W95" s="4" t="s">
        <v>757</v>
      </c>
      <c r="X95" s="4"/>
      <c r="Y95" s="4" t="s">
        <v>758</v>
      </c>
      <c r="Z95" s="4" t="s">
        <v>759</v>
      </c>
      <c r="AA95" s="4" t="s">
        <v>52</v>
      </c>
      <c r="AB95" s="4" t="s">
        <v>53</v>
      </c>
      <c r="AC95" s="4" t="s">
        <v>53</v>
      </c>
      <c r="AD95" s="4" t="s">
        <v>53</v>
      </c>
      <c r="AE95" s="4" t="s">
        <v>53</v>
      </c>
      <c r="AF95" s="4" t="s">
        <v>52</v>
      </c>
      <c r="AG95" s="4" t="s">
        <v>53</v>
      </c>
      <c r="AH95" s="4" t="s">
        <v>52</v>
      </c>
      <c r="AI95" s="4" t="s">
        <v>53</v>
      </c>
    </row>
    <row r="96" customFormat="false" ht="23.85" hidden="false" customHeight="false" outlineLevel="0" collapsed="false">
      <c r="A96" s="2" t="n">
        <v>95</v>
      </c>
      <c r="B96" s="2" t="s">
        <v>35</v>
      </c>
      <c r="C96" s="2" t="s">
        <v>36</v>
      </c>
      <c r="D96" s="2" t="s">
        <v>37</v>
      </c>
      <c r="E96" s="2" t="s">
        <v>760</v>
      </c>
      <c r="F96" s="2" t="s">
        <v>203</v>
      </c>
      <c r="G96" s="2" t="s">
        <v>761</v>
      </c>
      <c r="H96" s="2" t="s">
        <v>186</v>
      </c>
      <c r="I96" s="2" t="s">
        <v>762</v>
      </c>
      <c r="J96" s="2"/>
      <c r="K96" s="3"/>
      <c r="L96" s="3"/>
      <c r="M96" s="2" t="s">
        <v>53</v>
      </c>
      <c r="N96" s="2"/>
      <c r="O96" s="2"/>
      <c r="P96" s="2"/>
      <c r="Q96" s="2"/>
      <c r="R96" s="2"/>
      <c r="S96" s="2"/>
      <c r="T96" s="2" t="s">
        <v>592</v>
      </c>
      <c r="U96" s="2"/>
      <c r="V96" s="2"/>
      <c r="W96" s="2" t="s">
        <v>763</v>
      </c>
      <c r="X96" s="2"/>
      <c r="Y96" s="2" t="s">
        <v>758</v>
      </c>
      <c r="Z96" s="2" t="s">
        <v>764</v>
      </c>
      <c r="AA96" s="2" t="s">
        <v>53</v>
      </c>
      <c r="AB96" s="2" t="s">
        <v>53</v>
      </c>
      <c r="AC96" s="2" t="s">
        <v>53</v>
      </c>
      <c r="AD96" s="2" t="s">
        <v>53</v>
      </c>
      <c r="AE96" s="2" t="s">
        <v>53</v>
      </c>
      <c r="AF96" s="2" t="s">
        <v>53</v>
      </c>
      <c r="AG96" s="2" t="s">
        <v>52</v>
      </c>
      <c r="AH96" s="2" t="s">
        <v>53</v>
      </c>
      <c r="AI96" s="2" t="s">
        <v>53</v>
      </c>
    </row>
    <row r="97" customFormat="false" ht="23.85" hidden="false" customHeight="false" outlineLevel="0" collapsed="false">
      <c r="A97" s="4" t="n">
        <v>96</v>
      </c>
      <c r="B97" s="4" t="s">
        <v>35</v>
      </c>
      <c r="C97" s="4" t="s">
        <v>36</v>
      </c>
      <c r="D97" s="4" t="s">
        <v>37</v>
      </c>
      <c r="E97" s="4" t="s">
        <v>765</v>
      </c>
      <c r="F97" s="4" t="s">
        <v>766</v>
      </c>
      <c r="G97" s="4" t="s">
        <v>251</v>
      </c>
      <c r="H97" s="4" t="s">
        <v>767</v>
      </c>
      <c r="I97" s="4" t="s">
        <v>768</v>
      </c>
      <c r="J97" s="4"/>
      <c r="K97" s="5"/>
      <c r="L97" s="5"/>
      <c r="M97" s="4" t="s">
        <v>53</v>
      </c>
      <c r="N97" s="4"/>
      <c r="O97" s="4"/>
      <c r="P97" s="4"/>
      <c r="Q97" s="4"/>
      <c r="R97" s="4"/>
      <c r="S97" s="4" t="s">
        <v>48</v>
      </c>
      <c r="T97" s="4"/>
      <c r="U97" s="4" t="s">
        <v>769</v>
      </c>
      <c r="V97" s="4" t="s">
        <v>770</v>
      </c>
      <c r="W97" s="4" t="s">
        <v>771</v>
      </c>
      <c r="X97" s="4" t="s">
        <v>772</v>
      </c>
      <c r="Y97" s="4"/>
      <c r="Z97" s="4"/>
      <c r="AA97" s="4" t="s">
        <v>53</v>
      </c>
      <c r="AB97" s="4" t="s">
        <v>53</v>
      </c>
      <c r="AC97" s="4" t="s">
        <v>53</v>
      </c>
      <c r="AD97" s="4" t="s">
        <v>53</v>
      </c>
      <c r="AE97" s="4" t="s">
        <v>53</v>
      </c>
      <c r="AF97" s="4" t="s">
        <v>52</v>
      </c>
      <c r="AG97" s="4" t="s">
        <v>53</v>
      </c>
      <c r="AH97" s="4" t="s">
        <v>52</v>
      </c>
      <c r="AI97" s="4" t="s">
        <v>52</v>
      </c>
    </row>
    <row r="98" customFormat="false" ht="23.85" hidden="false" customHeight="false" outlineLevel="0" collapsed="false">
      <c r="A98" s="2" t="n">
        <v>97</v>
      </c>
      <c r="B98" s="2" t="s">
        <v>35</v>
      </c>
      <c r="C98" s="2" t="s">
        <v>36</v>
      </c>
      <c r="D98" s="2" t="s">
        <v>37</v>
      </c>
      <c r="E98" s="2" t="s">
        <v>773</v>
      </c>
      <c r="F98" s="2" t="s">
        <v>774</v>
      </c>
      <c r="G98" s="2" t="s">
        <v>775</v>
      </c>
      <c r="H98" s="2" t="s">
        <v>776</v>
      </c>
      <c r="I98" s="2" t="s">
        <v>777</v>
      </c>
      <c r="J98" s="2"/>
      <c r="K98" s="3"/>
      <c r="L98" s="3"/>
      <c r="M98" s="2" t="s">
        <v>44</v>
      </c>
      <c r="N98" s="2" t="s">
        <v>13</v>
      </c>
      <c r="O98" s="2"/>
      <c r="P98" s="2"/>
      <c r="Q98" s="2"/>
      <c r="R98" s="2"/>
      <c r="S98" s="2"/>
      <c r="T98" s="2"/>
      <c r="U98" s="2"/>
      <c r="V98" s="2"/>
      <c r="W98" s="2" t="s">
        <v>139</v>
      </c>
      <c r="X98" s="2"/>
      <c r="Y98" s="2" t="s">
        <v>778</v>
      </c>
      <c r="Z98" s="2" t="s">
        <v>273</v>
      </c>
      <c r="AA98" s="2" t="s">
        <v>52</v>
      </c>
      <c r="AB98" s="2" t="s">
        <v>53</v>
      </c>
      <c r="AC98" s="2" t="s">
        <v>53</v>
      </c>
      <c r="AD98" s="2" t="s">
        <v>53</v>
      </c>
      <c r="AE98" s="2" t="s">
        <v>53</v>
      </c>
      <c r="AF98" s="2" t="s">
        <v>53</v>
      </c>
      <c r="AG98" s="2" t="s">
        <v>53</v>
      </c>
      <c r="AH98" s="2" t="s">
        <v>53</v>
      </c>
      <c r="AI98" s="2" t="s">
        <v>53</v>
      </c>
    </row>
    <row r="99" customFormat="false" ht="23.85" hidden="false" customHeight="false" outlineLevel="0" collapsed="false">
      <c r="A99" s="4" t="n">
        <v>98</v>
      </c>
      <c r="B99" s="4" t="s">
        <v>35</v>
      </c>
      <c r="C99" s="4" t="s">
        <v>36</v>
      </c>
      <c r="D99" s="4" t="s">
        <v>37</v>
      </c>
      <c r="E99" s="4" t="s">
        <v>779</v>
      </c>
      <c r="F99" s="4" t="s">
        <v>39</v>
      </c>
      <c r="G99" s="4" t="s">
        <v>780</v>
      </c>
      <c r="H99" s="4" t="s">
        <v>186</v>
      </c>
      <c r="I99" s="4" t="s">
        <v>781</v>
      </c>
      <c r="J99" s="4" t="s">
        <v>782</v>
      </c>
      <c r="K99" s="5" t="n">
        <v>2385</v>
      </c>
      <c r="L99" s="5" t="n">
        <v>3480</v>
      </c>
      <c r="M99" s="4" t="s">
        <v>53</v>
      </c>
      <c r="N99" s="4"/>
      <c r="O99" s="4"/>
      <c r="P99" s="4"/>
      <c r="Q99" s="4"/>
      <c r="R99" s="4"/>
      <c r="S99" s="4"/>
      <c r="T99" s="4"/>
      <c r="U99" s="4"/>
      <c r="V99" s="4"/>
      <c r="W99" s="4" t="s">
        <v>783</v>
      </c>
      <c r="X99" s="4"/>
      <c r="Y99" s="4" t="s">
        <v>784</v>
      </c>
      <c r="Z99" s="4" t="s">
        <v>436</v>
      </c>
      <c r="AA99" s="4" t="s">
        <v>53</v>
      </c>
      <c r="AB99" s="4" t="s">
        <v>53</v>
      </c>
      <c r="AC99" s="4" t="s">
        <v>53</v>
      </c>
      <c r="AD99" s="4" t="s">
        <v>53</v>
      </c>
      <c r="AE99" s="4" t="s">
        <v>53</v>
      </c>
      <c r="AF99" s="4" t="s">
        <v>53</v>
      </c>
      <c r="AG99" s="4" t="s">
        <v>53</v>
      </c>
      <c r="AH99" s="4" t="s">
        <v>53</v>
      </c>
      <c r="AI99" s="4" t="s">
        <v>53</v>
      </c>
    </row>
    <row r="100" customFormat="false" ht="23.85" hidden="false" customHeight="false" outlineLevel="0" collapsed="false">
      <c r="A100" s="2" t="n">
        <v>99</v>
      </c>
      <c r="B100" s="2" t="s">
        <v>35</v>
      </c>
      <c r="C100" s="2" t="s">
        <v>36</v>
      </c>
      <c r="D100" s="2" t="s">
        <v>37</v>
      </c>
      <c r="E100" s="2" t="s">
        <v>785</v>
      </c>
      <c r="F100" s="2"/>
      <c r="G100" s="2" t="s">
        <v>786</v>
      </c>
      <c r="H100" s="2" t="s">
        <v>787</v>
      </c>
      <c r="I100" s="2" t="s">
        <v>788</v>
      </c>
      <c r="J100" s="2"/>
      <c r="K100" s="3"/>
      <c r="L100" s="3"/>
      <c r="M100" s="2" t="s">
        <v>53</v>
      </c>
      <c r="N100" s="2"/>
      <c r="O100" s="2"/>
      <c r="P100" s="2"/>
      <c r="Q100" s="2"/>
      <c r="R100" s="2"/>
      <c r="S100" s="2"/>
      <c r="T100" s="2"/>
      <c r="U100" s="2"/>
      <c r="V100" s="2"/>
      <c r="W100" s="2"/>
      <c r="X100" s="2" t="s">
        <v>789</v>
      </c>
      <c r="Y100" s="2"/>
      <c r="Z100" s="2"/>
      <c r="AA100" s="2" t="s">
        <v>53</v>
      </c>
      <c r="AB100" s="2" t="s">
        <v>53</v>
      </c>
      <c r="AC100" s="2" t="s">
        <v>53</v>
      </c>
      <c r="AD100" s="2" t="s">
        <v>53</v>
      </c>
      <c r="AE100" s="2" t="s">
        <v>53</v>
      </c>
      <c r="AF100" s="2" t="s">
        <v>53</v>
      </c>
      <c r="AG100" s="2" t="s">
        <v>53</v>
      </c>
      <c r="AH100" s="2" t="s">
        <v>53</v>
      </c>
      <c r="AI100" s="2" t="s">
        <v>53</v>
      </c>
    </row>
    <row r="101" customFormat="false" ht="23.85" hidden="false" customHeight="false" outlineLevel="0" collapsed="false">
      <c r="A101" s="4" t="n">
        <v>100</v>
      </c>
      <c r="B101" s="4" t="s">
        <v>35</v>
      </c>
      <c r="C101" s="4" t="s">
        <v>36</v>
      </c>
      <c r="D101" s="4" t="s">
        <v>37</v>
      </c>
      <c r="E101" s="4" t="s">
        <v>790</v>
      </c>
      <c r="F101" s="4" t="s">
        <v>791</v>
      </c>
      <c r="G101" s="4" t="s">
        <v>792</v>
      </c>
      <c r="H101" s="4" t="s">
        <v>186</v>
      </c>
      <c r="I101" s="4" t="s">
        <v>793</v>
      </c>
      <c r="J101" s="4"/>
      <c r="K101" s="5"/>
      <c r="L101" s="5"/>
      <c r="M101" s="4" t="s">
        <v>53</v>
      </c>
      <c r="N101" s="4"/>
      <c r="O101" s="4"/>
      <c r="P101" s="4"/>
      <c r="Q101" s="4"/>
      <c r="R101" s="4"/>
      <c r="S101" s="4"/>
      <c r="T101" s="4"/>
      <c r="U101" s="4"/>
      <c r="V101" s="4"/>
      <c r="W101" s="4" t="s">
        <v>139</v>
      </c>
      <c r="X101" s="4"/>
      <c r="Y101" s="4"/>
      <c r="Z101" s="4" t="s">
        <v>128</v>
      </c>
      <c r="AA101" s="4" t="s">
        <v>53</v>
      </c>
      <c r="AB101" s="4" t="s">
        <v>53</v>
      </c>
      <c r="AC101" s="4" t="s">
        <v>53</v>
      </c>
      <c r="AD101" s="4" t="s">
        <v>53</v>
      </c>
      <c r="AE101" s="4" t="s">
        <v>53</v>
      </c>
      <c r="AF101" s="4" t="s">
        <v>53</v>
      </c>
      <c r="AG101" s="4" t="s">
        <v>53</v>
      </c>
      <c r="AH101" s="4" t="s">
        <v>53</v>
      </c>
      <c r="AI101" s="4" t="s">
        <v>53</v>
      </c>
    </row>
    <row r="102" customFormat="false" ht="46.25" hidden="false" customHeight="false" outlineLevel="0" collapsed="false">
      <c r="A102" s="2" t="n">
        <v>101</v>
      </c>
      <c r="B102" s="2" t="s">
        <v>35</v>
      </c>
      <c r="C102" s="2" t="s">
        <v>36</v>
      </c>
      <c r="D102" s="2" t="s">
        <v>37</v>
      </c>
      <c r="E102" s="2" t="s">
        <v>794</v>
      </c>
      <c r="F102" s="2" t="s">
        <v>795</v>
      </c>
      <c r="G102" s="2" t="s">
        <v>796</v>
      </c>
      <c r="H102" s="2" t="s">
        <v>186</v>
      </c>
      <c r="I102" s="2" t="s">
        <v>797</v>
      </c>
      <c r="J102" s="2"/>
      <c r="K102" s="3"/>
      <c r="L102" s="3"/>
      <c r="M102" s="2" t="s">
        <v>53</v>
      </c>
      <c r="N102" s="2"/>
      <c r="O102" s="2" t="s">
        <v>798</v>
      </c>
      <c r="P102" s="2" t="s">
        <v>798</v>
      </c>
      <c r="Q102" s="2" t="s">
        <v>798</v>
      </c>
      <c r="R102" s="2"/>
      <c r="S102" s="2"/>
      <c r="T102" s="2" t="s">
        <v>798</v>
      </c>
      <c r="U102" s="2"/>
      <c r="V102" s="2" t="s">
        <v>798</v>
      </c>
      <c r="W102" s="2" t="s">
        <v>799</v>
      </c>
      <c r="X102" s="2"/>
      <c r="Y102" s="2"/>
      <c r="Z102" s="2" t="s">
        <v>436</v>
      </c>
      <c r="AA102" s="2" t="s">
        <v>53</v>
      </c>
      <c r="AB102" s="2" t="s">
        <v>172</v>
      </c>
      <c r="AC102" s="2" t="s">
        <v>172</v>
      </c>
      <c r="AD102" s="2" t="s">
        <v>172</v>
      </c>
      <c r="AE102" s="2" t="s">
        <v>53</v>
      </c>
      <c r="AF102" s="2" t="s">
        <v>53</v>
      </c>
      <c r="AG102" s="2" t="s">
        <v>172</v>
      </c>
      <c r="AH102" s="2" t="s">
        <v>53</v>
      </c>
      <c r="AI102" s="2" t="s">
        <v>172</v>
      </c>
    </row>
    <row r="103" customFormat="false" ht="23.85" hidden="false" customHeight="false" outlineLevel="0" collapsed="false">
      <c r="A103" s="4" t="n">
        <v>102</v>
      </c>
      <c r="B103" s="4" t="s">
        <v>35</v>
      </c>
      <c r="C103" s="4" t="s">
        <v>36</v>
      </c>
      <c r="D103" s="4" t="s">
        <v>37</v>
      </c>
      <c r="E103" s="4" t="s">
        <v>800</v>
      </c>
      <c r="F103" s="4" t="s">
        <v>801</v>
      </c>
      <c r="G103" s="4" t="s">
        <v>802</v>
      </c>
      <c r="H103" s="4" t="s">
        <v>186</v>
      </c>
      <c r="I103" s="4" t="s">
        <v>803</v>
      </c>
      <c r="J103" s="4" t="s">
        <v>804</v>
      </c>
      <c r="K103" s="5" t="n">
        <v>1200</v>
      </c>
      <c r="L103" s="5" t="n">
        <v>1800</v>
      </c>
      <c r="M103" s="4" t="s">
        <v>53</v>
      </c>
      <c r="N103" s="4"/>
      <c r="O103" s="4"/>
      <c r="P103" s="4"/>
      <c r="Q103" s="4"/>
      <c r="R103" s="4"/>
      <c r="S103" s="4"/>
      <c r="T103" s="4"/>
      <c r="U103" s="4" t="s">
        <v>805</v>
      </c>
      <c r="V103" s="4"/>
      <c r="W103" s="4" t="s">
        <v>806</v>
      </c>
      <c r="X103" s="4"/>
      <c r="Y103" s="4"/>
      <c r="Z103" s="4" t="s">
        <v>807</v>
      </c>
      <c r="AA103" s="4" t="s">
        <v>53</v>
      </c>
      <c r="AB103" s="4" t="s">
        <v>53</v>
      </c>
      <c r="AC103" s="4" t="s">
        <v>53</v>
      </c>
      <c r="AD103" s="4" t="s">
        <v>53</v>
      </c>
      <c r="AE103" s="4" t="s">
        <v>53</v>
      </c>
      <c r="AF103" s="4" t="s">
        <v>53</v>
      </c>
      <c r="AG103" s="4" t="s">
        <v>53</v>
      </c>
      <c r="AH103" s="4" t="s">
        <v>52</v>
      </c>
      <c r="AI103" s="4" t="s">
        <v>53</v>
      </c>
    </row>
    <row r="104" customFormat="false" ht="46.25" hidden="false" customHeight="false" outlineLevel="0" collapsed="false">
      <c r="A104" s="2" t="n">
        <v>103</v>
      </c>
      <c r="B104" s="2" t="s">
        <v>35</v>
      </c>
      <c r="C104" s="2" t="s">
        <v>36</v>
      </c>
      <c r="D104" s="2" t="s">
        <v>37</v>
      </c>
      <c r="E104" s="2" t="s">
        <v>808</v>
      </c>
      <c r="F104" s="2" t="s">
        <v>809</v>
      </c>
      <c r="G104" s="2" t="s">
        <v>802</v>
      </c>
      <c r="H104" s="2" t="s">
        <v>222</v>
      </c>
      <c r="I104" s="2" t="s">
        <v>810</v>
      </c>
      <c r="J104" s="2" t="s">
        <v>811</v>
      </c>
      <c r="K104" s="3" t="n">
        <v>1037</v>
      </c>
      <c r="L104" s="3" t="n">
        <v>1037</v>
      </c>
      <c r="M104" s="2" t="s">
        <v>53</v>
      </c>
      <c r="N104" s="2"/>
      <c r="O104" s="2"/>
      <c r="P104" s="2" t="s">
        <v>490</v>
      </c>
      <c r="Q104" s="2" t="s">
        <v>812</v>
      </c>
      <c r="R104" s="2"/>
      <c r="S104" s="2" t="s">
        <v>813</v>
      </c>
      <c r="T104" s="2"/>
      <c r="U104" s="2" t="s">
        <v>814</v>
      </c>
      <c r="V104" s="2"/>
      <c r="W104" s="2" t="s">
        <v>815</v>
      </c>
      <c r="X104" s="2"/>
      <c r="Y104" s="2"/>
      <c r="Z104" s="2" t="s">
        <v>816</v>
      </c>
      <c r="AA104" s="2" t="s">
        <v>53</v>
      </c>
      <c r="AB104" s="2" t="s">
        <v>53</v>
      </c>
      <c r="AC104" s="2" t="s">
        <v>52</v>
      </c>
      <c r="AD104" s="2" t="s">
        <v>52</v>
      </c>
      <c r="AE104" s="2" t="s">
        <v>53</v>
      </c>
      <c r="AF104" s="2" t="s">
        <v>52</v>
      </c>
      <c r="AG104" s="2" t="s">
        <v>53</v>
      </c>
      <c r="AH104" s="2" t="s">
        <v>52</v>
      </c>
      <c r="AI104" s="2" t="s">
        <v>53</v>
      </c>
    </row>
    <row r="105" customFormat="false" ht="23.85" hidden="false" customHeight="false" outlineLevel="0" collapsed="false">
      <c r="A105" s="4" t="n">
        <v>104</v>
      </c>
      <c r="B105" s="4" t="s">
        <v>35</v>
      </c>
      <c r="C105" s="4" t="s">
        <v>36</v>
      </c>
      <c r="D105" s="4" t="s">
        <v>37</v>
      </c>
      <c r="E105" s="4" t="s">
        <v>817</v>
      </c>
      <c r="F105" s="4" t="s">
        <v>818</v>
      </c>
      <c r="G105" s="4" t="s">
        <v>819</v>
      </c>
      <c r="H105" s="4" t="s">
        <v>186</v>
      </c>
      <c r="I105" s="4" t="s">
        <v>366</v>
      </c>
      <c r="J105" s="4"/>
      <c r="K105" s="5"/>
      <c r="L105" s="5"/>
      <c r="M105" s="4" t="s">
        <v>53</v>
      </c>
      <c r="N105" s="4"/>
      <c r="O105" s="4"/>
      <c r="P105" s="4"/>
      <c r="Q105" s="4" t="s">
        <v>93</v>
      </c>
      <c r="R105" s="4"/>
      <c r="S105" s="4" t="s">
        <v>48</v>
      </c>
      <c r="T105" s="4"/>
      <c r="U105" s="4" t="s">
        <v>820</v>
      </c>
      <c r="V105" s="4"/>
      <c r="W105" s="4" t="s">
        <v>139</v>
      </c>
      <c r="X105" s="4"/>
      <c r="Y105" s="4"/>
      <c r="Z105" s="4" t="s">
        <v>128</v>
      </c>
      <c r="AA105" s="4" t="s">
        <v>53</v>
      </c>
      <c r="AB105" s="4" t="s">
        <v>53</v>
      </c>
      <c r="AC105" s="4" t="s">
        <v>53</v>
      </c>
      <c r="AD105" s="4" t="s">
        <v>52</v>
      </c>
      <c r="AE105" s="4" t="s">
        <v>53</v>
      </c>
      <c r="AF105" s="4" t="s">
        <v>52</v>
      </c>
      <c r="AG105" s="4" t="s">
        <v>53</v>
      </c>
      <c r="AH105" s="4" t="s">
        <v>52</v>
      </c>
      <c r="AI105" s="4" t="s">
        <v>53</v>
      </c>
    </row>
    <row r="106" customFormat="false" ht="23.85" hidden="false" customHeight="false" outlineLevel="0" collapsed="false">
      <c r="A106" s="2" t="n">
        <v>105</v>
      </c>
      <c r="B106" s="2" t="s">
        <v>35</v>
      </c>
      <c r="C106" s="2" t="s">
        <v>36</v>
      </c>
      <c r="D106" s="2" t="s">
        <v>37</v>
      </c>
      <c r="E106" s="2" t="s">
        <v>821</v>
      </c>
      <c r="F106" s="2" t="s">
        <v>822</v>
      </c>
      <c r="G106" s="2" t="s">
        <v>823</v>
      </c>
      <c r="H106" s="2" t="s">
        <v>222</v>
      </c>
      <c r="I106" s="2" t="s">
        <v>824</v>
      </c>
      <c r="J106" s="2" t="s">
        <v>825</v>
      </c>
      <c r="K106" s="3" t="n">
        <v>1440</v>
      </c>
      <c r="L106" s="3" t="n">
        <v>2115</v>
      </c>
      <c r="M106" s="2" t="s">
        <v>53</v>
      </c>
      <c r="N106" s="2"/>
      <c r="O106" s="2"/>
      <c r="P106" s="2"/>
      <c r="Q106" s="2"/>
      <c r="R106" s="2"/>
      <c r="S106" s="2" t="s">
        <v>159</v>
      </c>
      <c r="T106" s="2" t="s">
        <v>592</v>
      </c>
      <c r="U106" s="2" t="s">
        <v>826</v>
      </c>
      <c r="V106" s="2"/>
      <c r="W106" s="2" t="s">
        <v>827</v>
      </c>
      <c r="X106" s="2"/>
      <c r="Y106" s="2"/>
      <c r="Z106" s="2" t="s">
        <v>828</v>
      </c>
      <c r="AA106" s="2" t="s">
        <v>53</v>
      </c>
      <c r="AB106" s="2" t="s">
        <v>53</v>
      </c>
      <c r="AC106" s="2" t="s">
        <v>53</v>
      </c>
      <c r="AD106" s="2" t="s">
        <v>53</v>
      </c>
      <c r="AE106" s="2" t="s">
        <v>53</v>
      </c>
      <c r="AF106" s="2" t="s">
        <v>52</v>
      </c>
      <c r="AG106" s="2" t="s">
        <v>52</v>
      </c>
      <c r="AH106" s="2" t="s">
        <v>52</v>
      </c>
      <c r="AI106" s="2" t="s">
        <v>53</v>
      </c>
    </row>
    <row r="107" customFormat="false" ht="23.85" hidden="false" customHeight="false" outlineLevel="0" collapsed="false">
      <c r="A107" s="4" t="n">
        <v>106</v>
      </c>
      <c r="B107" s="4" t="s">
        <v>35</v>
      </c>
      <c r="C107" s="4" t="s">
        <v>36</v>
      </c>
      <c r="D107" s="4" t="s">
        <v>37</v>
      </c>
      <c r="E107" s="4" t="s">
        <v>829</v>
      </c>
      <c r="F107" s="4" t="s">
        <v>830</v>
      </c>
      <c r="G107" s="4" t="s">
        <v>831</v>
      </c>
      <c r="H107" s="4" t="s">
        <v>222</v>
      </c>
      <c r="I107" s="4" t="s">
        <v>832</v>
      </c>
      <c r="J107" s="4"/>
      <c r="K107" s="5"/>
      <c r="L107" s="5"/>
      <c r="M107" s="4" t="s">
        <v>53</v>
      </c>
      <c r="N107" s="4"/>
      <c r="O107" s="4"/>
      <c r="P107" s="4"/>
      <c r="Q107" s="4"/>
      <c r="R107" s="4"/>
      <c r="S107" s="4"/>
      <c r="T107" s="4"/>
      <c r="U107" s="4"/>
      <c r="V107" s="4"/>
      <c r="W107" s="4" t="s">
        <v>833</v>
      </c>
      <c r="X107" s="4"/>
      <c r="Y107" s="4"/>
      <c r="Z107" s="4" t="s">
        <v>628</v>
      </c>
      <c r="AA107" s="4" t="s">
        <v>53</v>
      </c>
      <c r="AB107" s="4" t="s">
        <v>53</v>
      </c>
      <c r="AC107" s="4" t="s">
        <v>53</v>
      </c>
      <c r="AD107" s="4" t="s">
        <v>53</v>
      </c>
      <c r="AE107" s="4" t="s">
        <v>53</v>
      </c>
      <c r="AF107" s="4" t="s">
        <v>53</v>
      </c>
      <c r="AG107" s="4" t="s">
        <v>53</v>
      </c>
      <c r="AH107" s="4" t="s">
        <v>53</v>
      </c>
      <c r="AI107" s="4" t="s">
        <v>53</v>
      </c>
    </row>
    <row r="108" customFormat="false" ht="23.85" hidden="false" customHeight="false" outlineLevel="0" collapsed="false">
      <c r="A108" s="2" t="n">
        <v>107</v>
      </c>
      <c r="B108" s="2" t="s">
        <v>35</v>
      </c>
      <c r="C108" s="2" t="s">
        <v>36</v>
      </c>
      <c r="D108" s="2" t="s">
        <v>37</v>
      </c>
      <c r="E108" s="2" t="s">
        <v>834</v>
      </c>
      <c r="F108" s="2" t="s">
        <v>835</v>
      </c>
      <c r="G108" s="2" t="s">
        <v>836</v>
      </c>
      <c r="H108" s="2" t="s">
        <v>186</v>
      </c>
      <c r="I108" s="2" t="s">
        <v>837</v>
      </c>
      <c r="J108" s="2"/>
      <c r="K108" s="3"/>
      <c r="L108" s="3"/>
      <c r="M108" s="2" t="s">
        <v>53</v>
      </c>
      <c r="N108" s="2"/>
      <c r="O108" s="2"/>
      <c r="P108" s="2"/>
      <c r="Q108" s="2"/>
      <c r="R108" s="2"/>
      <c r="S108" s="2"/>
      <c r="T108" s="2"/>
      <c r="U108" s="2"/>
      <c r="V108" s="2"/>
      <c r="W108" s="2" t="s">
        <v>833</v>
      </c>
      <c r="X108" s="2"/>
      <c r="Y108" s="2" t="s">
        <v>838</v>
      </c>
      <c r="Z108" s="2" t="s">
        <v>280</v>
      </c>
      <c r="AA108" s="2" t="s">
        <v>53</v>
      </c>
      <c r="AB108" s="2" t="s">
        <v>53</v>
      </c>
      <c r="AC108" s="2" t="s">
        <v>53</v>
      </c>
      <c r="AD108" s="2" t="s">
        <v>53</v>
      </c>
      <c r="AE108" s="2" t="s">
        <v>53</v>
      </c>
      <c r="AF108" s="2" t="s">
        <v>53</v>
      </c>
      <c r="AG108" s="2" t="s">
        <v>53</v>
      </c>
      <c r="AH108" s="2" t="s">
        <v>53</v>
      </c>
      <c r="AI108" s="2" t="s">
        <v>53</v>
      </c>
    </row>
    <row r="109" customFormat="false" ht="35.05" hidden="false" customHeight="false" outlineLevel="0" collapsed="false">
      <c r="A109" s="4" t="n">
        <v>108</v>
      </c>
      <c r="B109" s="4" t="s">
        <v>35</v>
      </c>
      <c r="C109" s="4" t="s">
        <v>36</v>
      </c>
      <c r="D109" s="4" t="s">
        <v>37</v>
      </c>
      <c r="E109" s="4" t="s">
        <v>839</v>
      </c>
      <c r="F109" s="4" t="s">
        <v>840</v>
      </c>
      <c r="G109" s="4" t="s">
        <v>841</v>
      </c>
      <c r="H109" s="4" t="s">
        <v>479</v>
      </c>
      <c r="I109" s="4" t="s">
        <v>842</v>
      </c>
      <c r="J109" s="4" t="s">
        <v>843</v>
      </c>
      <c r="K109" s="5" t="n">
        <v>4254</v>
      </c>
      <c r="L109" s="5" t="n">
        <v>4754</v>
      </c>
      <c r="M109" s="4" t="s">
        <v>44</v>
      </c>
      <c r="N109" s="4"/>
      <c r="O109" s="4"/>
      <c r="P109" s="4" t="s">
        <v>844</v>
      </c>
      <c r="Q109" s="4" t="s">
        <v>93</v>
      </c>
      <c r="R109" s="4"/>
      <c r="S109" s="4" t="s">
        <v>845</v>
      </c>
      <c r="T109" s="4" t="s">
        <v>592</v>
      </c>
      <c r="U109" s="4" t="s">
        <v>846</v>
      </c>
      <c r="V109" s="4"/>
      <c r="W109" s="4" t="s">
        <v>101</v>
      </c>
      <c r="X109" s="4"/>
      <c r="Y109" s="4" t="s">
        <v>838</v>
      </c>
      <c r="Z109" s="4" t="s">
        <v>128</v>
      </c>
      <c r="AA109" s="4" t="s">
        <v>53</v>
      </c>
      <c r="AB109" s="4" t="s">
        <v>53</v>
      </c>
      <c r="AC109" s="4" t="s">
        <v>52</v>
      </c>
      <c r="AD109" s="4" t="s">
        <v>52</v>
      </c>
      <c r="AE109" s="4" t="s">
        <v>53</v>
      </c>
      <c r="AF109" s="4" t="s">
        <v>52</v>
      </c>
      <c r="AG109" s="4" t="s">
        <v>52</v>
      </c>
      <c r="AH109" s="4" t="s">
        <v>52</v>
      </c>
      <c r="AI109" s="4" t="s">
        <v>53</v>
      </c>
    </row>
    <row r="110" customFormat="false" ht="35.05" hidden="false" customHeight="false" outlineLevel="0" collapsed="false">
      <c r="A110" s="2" t="n">
        <v>109</v>
      </c>
      <c r="B110" s="2" t="s">
        <v>35</v>
      </c>
      <c r="C110" s="2" t="s">
        <v>36</v>
      </c>
      <c r="D110" s="2" t="s">
        <v>37</v>
      </c>
      <c r="E110" s="2" t="s">
        <v>847</v>
      </c>
      <c r="F110" s="2" t="s">
        <v>840</v>
      </c>
      <c r="G110" s="2" t="s">
        <v>848</v>
      </c>
      <c r="H110" s="2" t="s">
        <v>479</v>
      </c>
      <c r="I110" s="2" t="s">
        <v>849</v>
      </c>
      <c r="J110" s="2" t="s">
        <v>850</v>
      </c>
      <c r="K110" s="3" t="n">
        <v>4749</v>
      </c>
      <c r="L110" s="3" t="n">
        <v>5168</v>
      </c>
      <c r="M110" s="2" t="s">
        <v>44</v>
      </c>
      <c r="N110" s="2" t="s">
        <v>13</v>
      </c>
      <c r="O110" s="2"/>
      <c r="P110" s="2" t="s">
        <v>851</v>
      </c>
      <c r="Q110" s="2" t="s">
        <v>852</v>
      </c>
      <c r="R110" s="2" t="s">
        <v>853</v>
      </c>
      <c r="S110" s="2" t="s">
        <v>845</v>
      </c>
      <c r="T110" s="2" t="s">
        <v>592</v>
      </c>
      <c r="U110" s="2" t="s">
        <v>854</v>
      </c>
      <c r="V110" s="2"/>
      <c r="W110" s="2" t="s">
        <v>855</v>
      </c>
      <c r="X110" s="2"/>
      <c r="Y110" s="2"/>
      <c r="Z110" s="2" t="s">
        <v>87</v>
      </c>
      <c r="AA110" s="2" t="s">
        <v>52</v>
      </c>
      <c r="AB110" s="2" t="s">
        <v>53</v>
      </c>
      <c r="AC110" s="2" t="s">
        <v>172</v>
      </c>
      <c r="AD110" s="2" t="s">
        <v>52</v>
      </c>
      <c r="AE110" s="2" t="s">
        <v>172</v>
      </c>
      <c r="AF110" s="2" t="s">
        <v>52</v>
      </c>
      <c r="AG110" s="2" t="s">
        <v>52</v>
      </c>
      <c r="AH110" s="2" t="s">
        <v>52</v>
      </c>
      <c r="AI110" s="2" t="s">
        <v>53</v>
      </c>
    </row>
    <row r="111" customFormat="false" ht="46.25" hidden="false" customHeight="false" outlineLevel="0" collapsed="false">
      <c r="A111" s="4" t="n">
        <v>110</v>
      </c>
      <c r="B111" s="4" t="s">
        <v>35</v>
      </c>
      <c r="C111" s="4" t="s">
        <v>36</v>
      </c>
      <c r="D111" s="4" t="s">
        <v>37</v>
      </c>
      <c r="E111" s="4" t="s">
        <v>856</v>
      </c>
      <c r="F111" s="4" t="s">
        <v>840</v>
      </c>
      <c r="G111" s="4" t="s">
        <v>848</v>
      </c>
      <c r="H111" s="4" t="s">
        <v>479</v>
      </c>
      <c r="I111" s="4" t="s">
        <v>857</v>
      </c>
      <c r="J111" s="4" t="s">
        <v>858</v>
      </c>
      <c r="K111" s="5" t="n">
        <v>2615</v>
      </c>
      <c r="L111" s="5" t="n">
        <v>3272</v>
      </c>
      <c r="M111" s="4" t="s">
        <v>44</v>
      </c>
      <c r="N111" s="4" t="s">
        <v>13</v>
      </c>
      <c r="O111" s="4"/>
      <c r="P111" s="4" t="s">
        <v>851</v>
      </c>
      <c r="Q111" s="4" t="s">
        <v>852</v>
      </c>
      <c r="R111" s="4"/>
      <c r="S111" s="4" t="s">
        <v>845</v>
      </c>
      <c r="T111" s="4" t="s">
        <v>592</v>
      </c>
      <c r="U111" s="4" t="s">
        <v>859</v>
      </c>
      <c r="V111" s="4"/>
      <c r="W111" s="4" t="s">
        <v>493</v>
      </c>
      <c r="X111" s="4"/>
      <c r="Y111" s="4"/>
      <c r="Z111" s="4"/>
      <c r="AA111" s="4" t="s">
        <v>52</v>
      </c>
      <c r="AB111" s="4" t="s">
        <v>53</v>
      </c>
      <c r="AC111" s="4" t="s">
        <v>172</v>
      </c>
      <c r="AD111" s="4" t="s">
        <v>52</v>
      </c>
      <c r="AE111" s="4" t="s">
        <v>53</v>
      </c>
      <c r="AF111" s="4" t="s">
        <v>52</v>
      </c>
      <c r="AG111" s="4" t="s">
        <v>52</v>
      </c>
      <c r="AH111" s="4" t="s">
        <v>52</v>
      </c>
      <c r="AI111" s="4" t="s">
        <v>53</v>
      </c>
    </row>
    <row r="112" customFormat="false" ht="35.05" hidden="false" customHeight="false" outlineLevel="0" collapsed="false">
      <c r="A112" s="2" t="n">
        <v>111</v>
      </c>
      <c r="B112" s="2" t="s">
        <v>35</v>
      </c>
      <c r="C112" s="2" t="s">
        <v>36</v>
      </c>
      <c r="D112" s="2" t="s">
        <v>37</v>
      </c>
      <c r="E112" s="2" t="s">
        <v>860</v>
      </c>
      <c r="F112" s="2" t="s">
        <v>840</v>
      </c>
      <c r="G112" s="2" t="s">
        <v>861</v>
      </c>
      <c r="H112" s="2" t="s">
        <v>479</v>
      </c>
      <c r="I112" s="2" t="s">
        <v>862</v>
      </c>
      <c r="J112" s="2" t="s">
        <v>863</v>
      </c>
      <c r="K112" s="3" t="n">
        <v>5547</v>
      </c>
      <c r="L112" s="3" t="n">
        <v>6013</v>
      </c>
      <c r="M112" s="2" t="s">
        <v>44</v>
      </c>
      <c r="N112" s="2"/>
      <c r="O112" s="2"/>
      <c r="P112" s="2" t="s">
        <v>851</v>
      </c>
      <c r="Q112" s="2" t="s">
        <v>93</v>
      </c>
      <c r="R112" s="2"/>
      <c r="S112" s="2" t="s">
        <v>845</v>
      </c>
      <c r="T112" s="2" t="s">
        <v>592</v>
      </c>
      <c r="U112" s="2" t="s">
        <v>864</v>
      </c>
      <c r="V112" s="2"/>
      <c r="W112" s="2" t="s">
        <v>139</v>
      </c>
      <c r="X112" s="2"/>
      <c r="Y112" s="2"/>
      <c r="Z112" s="2" t="s">
        <v>865</v>
      </c>
      <c r="AA112" s="2" t="s">
        <v>53</v>
      </c>
      <c r="AB112" s="2" t="s">
        <v>53</v>
      </c>
      <c r="AC112" s="2" t="s">
        <v>172</v>
      </c>
      <c r="AD112" s="2" t="s">
        <v>52</v>
      </c>
      <c r="AE112" s="2" t="s">
        <v>53</v>
      </c>
      <c r="AF112" s="2" t="s">
        <v>52</v>
      </c>
      <c r="AG112" s="2" t="s">
        <v>52</v>
      </c>
      <c r="AH112" s="2" t="s">
        <v>52</v>
      </c>
      <c r="AI112" s="2" t="s">
        <v>53</v>
      </c>
    </row>
    <row r="113" customFormat="false" ht="35.05" hidden="false" customHeight="false" outlineLevel="0" collapsed="false">
      <c r="A113" s="4" t="n">
        <v>112</v>
      </c>
      <c r="B113" s="4" t="s">
        <v>35</v>
      </c>
      <c r="C113" s="4" t="s">
        <v>36</v>
      </c>
      <c r="D113" s="4" t="s">
        <v>37</v>
      </c>
      <c r="E113" s="4" t="s">
        <v>866</v>
      </c>
      <c r="F113" s="4" t="s">
        <v>840</v>
      </c>
      <c r="G113" s="4" t="s">
        <v>867</v>
      </c>
      <c r="H113" s="4" t="s">
        <v>479</v>
      </c>
      <c r="I113" s="4" t="s">
        <v>868</v>
      </c>
      <c r="J113" s="4" t="s">
        <v>869</v>
      </c>
      <c r="K113" s="5" t="n">
        <v>2734</v>
      </c>
      <c r="L113" s="5" t="n">
        <v>2996</v>
      </c>
      <c r="M113" s="4" t="s">
        <v>44</v>
      </c>
      <c r="N113" s="4"/>
      <c r="O113" s="4"/>
      <c r="P113" s="4"/>
      <c r="Q113" s="4" t="s">
        <v>93</v>
      </c>
      <c r="R113" s="4"/>
      <c r="S113" s="4" t="s">
        <v>845</v>
      </c>
      <c r="T113" s="4" t="s">
        <v>592</v>
      </c>
      <c r="U113" s="4" t="s">
        <v>870</v>
      </c>
      <c r="V113" s="4"/>
      <c r="W113" s="4" t="s">
        <v>139</v>
      </c>
      <c r="X113" s="4"/>
      <c r="Y113" s="4"/>
      <c r="Z113" s="4" t="s">
        <v>871</v>
      </c>
      <c r="AA113" s="4" t="s">
        <v>53</v>
      </c>
      <c r="AB113" s="4" t="s">
        <v>53</v>
      </c>
      <c r="AC113" s="4" t="s">
        <v>53</v>
      </c>
      <c r="AD113" s="4" t="s">
        <v>52</v>
      </c>
      <c r="AE113" s="4" t="s">
        <v>53</v>
      </c>
      <c r="AF113" s="4" t="s">
        <v>52</v>
      </c>
      <c r="AG113" s="4" t="s">
        <v>52</v>
      </c>
      <c r="AH113" s="4" t="s">
        <v>52</v>
      </c>
      <c r="AI113" s="4" t="s">
        <v>53</v>
      </c>
    </row>
    <row r="114" customFormat="false" ht="23.85" hidden="false" customHeight="false" outlineLevel="0" collapsed="false">
      <c r="A114" s="2" t="n">
        <v>113</v>
      </c>
      <c r="B114" s="2" t="s">
        <v>35</v>
      </c>
      <c r="C114" s="2" t="s">
        <v>36</v>
      </c>
      <c r="D114" s="2" t="s">
        <v>37</v>
      </c>
      <c r="E114" s="2" t="s">
        <v>872</v>
      </c>
      <c r="F114" s="2" t="s">
        <v>873</v>
      </c>
      <c r="G114" s="2" t="s">
        <v>874</v>
      </c>
      <c r="H114" s="2" t="s">
        <v>479</v>
      </c>
      <c r="I114" s="2" t="s">
        <v>875</v>
      </c>
      <c r="J114" s="2"/>
      <c r="K114" s="3"/>
      <c r="L114" s="3"/>
      <c r="M114" s="2" t="s">
        <v>44</v>
      </c>
      <c r="N114" s="2"/>
      <c r="O114" s="2"/>
      <c r="P114" s="2" t="s">
        <v>876</v>
      </c>
      <c r="Q114" s="2"/>
      <c r="R114" s="2"/>
      <c r="S114" s="2" t="s">
        <v>48</v>
      </c>
      <c r="T114" s="2" t="s">
        <v>592</v>
      </c>
      <c r="U114" s="2" t="s">
        <v>877</v>
      </c>
      <c r="V114" s="2"/>
      <c r="W114" s="2" t="s">
        <v>878</v>
      </c>
      <c r="X114" s="2"/>
      <c r="Y114" s="2"/>
      <c r="Z114" s="2" t="s">
        <v>327</v>
      </c>
      <c r="AA114" s="2" t="s">
        <v>53</v>
      </c>
      <c r="AB114" s="2" t="s">
        <v>53</v>
      </c>
      <c r="AC114" s="2" t="s">
        <v>172</v>
      </c>
      <c r="AD114" s="2" t="s">
        <v>53</v>
      </c>
      <c r="AE114" s="2" t="s">
        <v>53</v>
      </c>
      <c r="AF114" s="2" t="s">
        <v>52</v>
      </c>
      <c r="AG114" s="2" t="s">
        <v>52</v>
      </c>
      <c r="AH114" s="2" t="s">
        <v>52</v>
      </c>
      <c r="AI114" s="2" t="s">
        <v>53</v>
      </c>
    </row>
    <row r="115" customFormat="false" ht="23.85" hidden="false" customHeight="false" outlineLevel="0" collapsed="false">
      <c r="A115" s="4" t="n">
        <v>114</v>
      </c>
      <c r="B115" s="4" t="s">
        <v>35</v>
      </c>
      <c r="C115" s="4" t="s">
        <v>36</v>
      </c>
      <c r="D115" s="4" t="s">
        <v>37</v>
      </c>
      <c r="E115" s="4" t="s">
        <v>879</v>
      </c>
      <c r="F115" s="4" t="s">
        <v>873</v>
      </c>
      <c r="G115" s="4" t="s">
        <v>874</v>
      </c>
      <c r="H115" s="4" t="s">
        <v>776</v>
      </c>
      <c r="I115" s="4" t="s">
        <v>880</v>
      </c>
      <c r="J115" s="4"/>
      <c r="K115" s="5"/>
      <c r="L115" s="5"/>
      <c r="M115" s="4" t="s">
        <v>44</v>
      </c>
      <c r="N115" s="4"/>
      <c r="O115" s="4"/>
      <c r="P115" s="4" t="s">
        <v>881</v>
      </c>
      <c r="Q115" s="4"/>
      <c r="R115" s="4"/>
      <c r="S115" s="4" t="s">
        <v>48</v>
      </c>
      <c r="T115" s="4" t="s">
        <v>592</v>
      </c>
      <c r="U115" s="4" t="s">
        <v>882</v>
      </c>
      <c r="V115" s="4"/>
      <c r="W115" s="4" t="s">
        <v>883</v>
      </c>
      <c r="X115" s="4"/>
      <c r="Y115" s="4"/>
      <c r="Z115" s="4" t="s">
        <v>342</v>
      </c>
      <c r="AA115" s="4" t="s">
        <v>53</v>
      </c>
      <c r="AB115" s="4" t="s">
        <v>53</v>
      </c>
      <c r="AC115" s="4" t="s">
        <v>172</v>
      </c>
      <c r="AD115" s="4" t="s">
        <v>53</v>
      </c>
      <c r="AE115" s="4" t="s">
        <v>53</v>
      </c>
      <c r="AF115" s="4" t="s">
        <v>52</v>
      </c>
      <c r="AG115" s="4" t="s">
        <v>52</v>
      </c>
      <c r="AH115" s="4" t="s">
        <v>52</v>
      </c>
      <c r="AI115" s="4" t="s">
        <v>53</v>
      </c>
    </row>
    <row r="116" customFormat="false" ht="35.05" hidden="false" customHeight="false" outlineLevel="0" collapsed="false">
      <c r="A116" s="2" t="n">
        <v>115</v>
      </c>
      <c r="B116" s="2" t="s">
        <v>35</v>
      </c>
      <c r="C116" s="2" t="s">
        <v>36</v>
      </c>
      <c r="D116" s="2" t="s">
        <v>37</v>
      </c>
      <c r="E116" s="2" t="s">
        <v>884</v>
      </c>
      <c r="F116" s="2" t="s">
        <v>885</v>
      </c>
      <c r="G116" s="2" t="s">
        <v>836</v>
      </c>
      <c r="H116" s="2" t="s">
        <v>886</v>
      </c>
      <c r="I116" s="2" t="s">
        <v>887</v>
      </c>
      <c r="J116" s="2"/>
      <c r="K116" s="3"/>
      <c r="L116" s="3"/>
      <c r="M116" s="2" t="s">
        <v>53</v>
      </c>
      <c r="N116" s="2" t="s">
        <v>13</v>
      </c>
      <c r="O116" s="2"/>
      <c r="P116" s="2" t="s">
        <v>888</v>
      </c>
      <c r="Q116" s="2" t="s">
        <v>889</v>
      </c>
      <c r="R116" s="2"/>
      <c r="S116" s="2" t="s">
        <v>48</v>
      </c>
      <c r="T116" s="2" t="s">
        <v>592</v>
      </c>
      <c r="U116" s="2" t="s">
        <v>890</v>
      </c>
      <c r="V116" s="2"/>
      <c r="W116" s="2" t="s">
        <v>891</v>
      </c>
      <c r="X116" s="2"/>
      <c r="Y116" s="2"/>
      <c r="Z116" s="2" t="s">
        <v>892</v>
      </c>
      <c r="AA116" s="2" t="s">
        <v>52</v>
      </c>
      <c r="AB116" s="2" t="s">
        <v>53</v>
      </c>
      <c r="AC116" s="2" t="s">
        <v>52</v>
      </c>
      <c r="AD116" s="2" t="s">
        <v>52</v>
      </c>
      <c r="AE116" s="2" t="s">
        <v>53</v>
      </c>
      <c r="AF116" s="2" t="s">
        <v>52</v>
      </c>
      <c r="AG116" s="2" t="s">
        <v>52</v>
      </c>
      <c r="AH116" s="2" t="s">
        <v>52</v>
      </c>
      <c r="AI116" s="2" t="s">
        <v>53</v>
      </c>
    </row>
    <row r="117" customFormat="false" ht="35.05" hidden="false" customHeight="false" outlineLevel="0" collapsed="false">
      <c r="A117" s="4" t="n">
        <v>116</v>
      </c>
      <c r="B117" s="4" t="s">
        <v>35</v>
      </c>
      <c r="C117" s="4" t="s">
        <v>36</v>
      </c>
      <c r="D117" s="4" t="s">
        <v>37</v>
      </c>
      <c r="E117" s="4" t="s">
        <v>893</v>
      </c>
      <c r="F117" s="4" t="s">
        <v>894</v>
      </c>
      <c r="G117" s="4" t="s">
        <v>861</v>
      </c>
      <c r="H117" s="4" t="s">
        <v>479</v>
      </c>
      <c r="I117" s="4" t="s">
        <v>895</v>
      </c>
      <c r="J117" s="4" t="s">
        <v>896</v>
      </c>
      <c r="K117" s="5"/>
      <c r="L117" s="5"/>
      <c r="M117" s="4" t="s">
        <v>44</v>
      </c>
      <c r="N117" s="4"/>
      <c r="O117" s="4"/>
      <c r="P117" s="4"/>
      <c r="Q117" s="4"/>
      <c r="R117" s="4"/>
      <c r="S117" s="4" t="s">
        <v>48</v>
      </c>
      <c r="T117" s="4" t="s">
        <v>592</v>
      </c>
      <c r="U117" s="4" t="s">
        <v>897</v>
      </c>
      <c r="V117" s="4"/>
      <c r="W117" s="4" t="s">
        <v>139</v>
      </c>
      <c r="X117" s="4" t="s">
        <v>898</v>
      </c>
      <c r="Y117" s="4"/>
      <c r="Z117" s="4" t="s">
        <v>899</v>
      </c>
      <c r="AA117" s="4" t="s">
        <v>53</v>
      </c>
      <c r="AB117" s="4" t="s">
        <v>53</v>
      </c>
      <c r="AC117" s="4" t="s">
        <v>53</v>
      </c>
      <c r="AD117" s="4" t="s">
        <v>53</v>
      </c>
      <c r="AE117" s="4" t="s">
        <v>53</v>
      </c>
      <c r="AF117" s="4" t="s">
        <v>52</v>
      </c>
      <c r="AG117" s="4" t="s">
        <v>52</v>
      </c>
      <c r="AH117" s="4" t="s">
        <v>52</v>
      </c>
      <c r="AI117" s="4" t="s">
        <v>53</v>
      </c>
    </row>
    <row r="118" customFormat="false" ht="35.05" hidden="false" customHeight="false" outlineLevel="0" collapsed="false">
      <c r="A118" s="2" t="n">
        <v>117</v>
      </c>
      <c r="B118" s="2" t="s">
        <v>35</v>
      </c>
      <c r="C118" s="2" t="s">
        <v>36</v>
      </c>
      <c r="D118" s="2" t="s">
        <v>37</v>
      </c>
      <c r="E118" s="2" t="s">
        <v>900</v>
      </c>
      <c r="F118" s="2" t="s">
        <v>319</v>
      </c>
      <c r="G118" s="2" t="s">
        <v>901</v>
      </c>
      <c r="H118" s="2" t="s">
        <v>479</v>
      </c>
      <c r="I118" s="2" t="s">
        <v>902</v>
      </c>
      <c r="J118" s="2" t="s">
        <v>903</v>
      </c>
      <c r="K118" s="3" t="n">
        <v>5700</v>
      </c>
      <c r="L118" s="3" t="n">
        <v>5700</v>
      </c>
      <c r="M118" s="2" t="s">
        <v>44</v>
      </c>
      <c r="N118" s="2" t="s">
        <v>13</v>
      </c>
      <c r="O118" s="2"/>
      <c r="P118" s="2" t="s">
        <v>904</v>
      </c>
      <c r="Q118" s="2" t="s">
        <v>905</v>
      </c>
      <c r="R118" s="2"/>
      <c r="S118" s="2"/>
      <c r="T118" s="2"/>
      <c r="U118" s="2" t="s">
        <v>906</v>
      </c>
      <c r="V118" s="2"/>
      <c r="W118" s="2" t="s">
        <v>855</v>
      </c>
      <c r="X118" s="2"/>
      <c r="Y118" s="2"/>
      <c r="Z118" s="2" t="s">
        <v>907</v>
      </c>
      <c r="AA118" s="2" t="s">
        <v>52</v>
      </c>
      <c r="AB118" s="2" t="s">
        <v>53</v>
      </c>
      <c r="AC118" s="2" t="s">
        <v>52</v>
      </c>
      <c r="AD118" s="2" t="s">
        <v>52</v>
      </c>
      <c r="AE118" s="2" t="s">
        <v>53</v>
      </c>
      <c r="AF118" s="2" t="s">
        <v>53</v>
      </c>
      <c r="AG118" s="2" t="s">
        <v>53</v>
      </c>
      <c r="AH118" s="2" t="s">
        <v>52</v>
      </c>
      <c r="AI118" s="2" t="s">
        <v>53</v>
      </c>
    </row>
    <row r="119" customFormat="false" ht="23.85" hidden="false" customHeight="false" outlineLevel="0" collapsed="false">
      <c r="A119" s="4" t="n">
        <v>118</v>
      </c>
      <c r="B119" s="4" t="s">
        <v>35</v>
      </c>
      <c r="C119" s="4" t="s">
        <v>36</v>
      </c>
      <c r="D119" s="4" t="s">
        <v>37</v>
      </c>
      <c r="E119" s="4" t="s">
        <v>908</v>
      </c>
      <c r="F119" s="4" t="s">
        <v>909</v>
      </c>
      <c r="G119" s="4" t="s">
        <v>901</v>
      </c>
      <c r="H119" s="4" t="s">
        <v>222</v>
      </c>
      <c r="I119" s="4" t="s">
        <v>910</v>
      </c>
      <c r="J119" s="4" t="s">
        <v>911</v>
      </c>
      <c r="K119" s="5" t="n">
        <v>1500</v>
      </c>
      <c r="L119" s="5" t="n">
        <v>1700</v>
      </c>
      <c r="M119" s="4" t="s">
        <v>53</v>
      </c>
      <c r="N119" s="4"/>
      <c r="O119" s="4"/>
      <c r="P119" s="4"/>
      <c r="Q119" s="4"/>
      <c r="R119" s="4"/>
      <c r="S119" s="4"/>
      <c r="T119" s="4" t="s">
        <v>592</v>
      </c>
      <c r="U119" s="4" t="s">
        <v>427</v>
      </c>
      <c r="V119" s="4"/>
      <c r="W119" s="4"/>
      <c r="X119" s="4"/>
      <c r="Y119" s="4"/>
      <c r="Z119" s="4" t="s">
        <v>370</v>
      </c>
      <c r="AA119" s="4" t="s">
        <v>53</v>
      </c>
      <c r="AB119" s="4" t="s">
        <v>53</v>
      </c>
      <c r="AC119" s="4" t="s">
        <v>53</v>
      </c>
      <c r="AD119" s="4" t="s">
        <v>53</v>
      </c>
      <c r="AE119" s="4" t="s">
        <v>53</v>
      </c>
      <c r="AF119" s="4" t="s">
        <v>53</v>
      </c>
      <c r="AG119" s="4" t="s">
        <v>52</v>
      </c>
      <c r="AH119" s="4" t="s">
        <v>52</v>
      </c>
      <c r="AI119" s="4" t="s">
        <v>53</v>
      </c>
    </row>
    <row r="120" customFormat="false" ht="35.05" hidden="false" customHeight="false" outlineLevel="0" collapsed="false">
      <c r="A120" s="2" t="n">
        <v>119</v>
      </c>
      <c r="B120" s="2" t="s">
        <v>35</v>
      </c>
      <c r="C120" s="2" t="s">
        <v>36</v>
      </c>
      <c r="D120" s="2" t="s">
        <v>37</v>
      </c>
      <c r="E120" s="2" t="s">
        <v>912</v>
      </c>
      <c r="F120" s="2" t="s">
        <v>909</v>
      </c>
      <c r="G120" s="2" t="s">
        <v>861</v>
      </c>
      <c r="H120" s="2" t="s">
        <v>776</v>
      </c>
      <c r="I120" s="2" t="s">
        <v>913</v>
      </c>
      <c r="J120" s="2"/>
      <c r="K120" s="3"/>
      <c r="L120" s="3"/>
      <c r="M120" s="2" t="s">
        <v>44</v>
      </c>
      <c r="N120" s="2"/>
      <c r="O120" s="2"/>
      <c r="P120" s="2"/>
      <c r="Q120" s="2"/>
      <c r="R120" s="2"/>
      <c r="S120" s="2"/>
      <c r="T120" s="2"/>
      <c r="U120" s="2"/>
      <c r="V120" s="2"/>
      <c r="W120" s="2" t="s">
        <v>493</v>
      </c>
      <c r="X120" s="2"/>
      <c r="Y120" s="2"/>
      <c r="Z120" s="2" t="s">
        <v>914</v>
      </c>
      <c r="AA120" s="2" t="s">
        <v>53</v>
      </c>
      <c r="AB120" s="2" t="s">
        <v>53</v>
      </c>
      <c r="AC120" s="2" t="s">
        <v>53</v>
      </c>
      <c r="AD120" s="2" t="s">
        <v>53</v>
      </c>
      <c r="AE120" s="2" t="s">
        <v>53</v>
      </c>
      <c r="AF120" s="2" t="s">
        <v>53</v>
      </c>
      <c r="AG120" s="2" t="s">
        <v>53</v>
      </c>
      <c r="AH120" s="2" t="s">
        <v>53</v>
      </c>
      <c r="AI120" s="2" t="s">
        <v>53</v>
      </c>
    </row>
    <row r="121" customFormat="false" ht="23.85" hidden="false" customHeight="false" outlineLevel="0" collapsed="false">
      <c r="A121" s="4" t="n">
        <v>120</v>
      </c>
      <c r="B121" s="4" t="s">
        <v>35</v>
      </c>
      <c r="C121" s="4" t="s">
        <v>36</v>
      </c>
      <c r="D121" s="4" t="s">
        <v>37</v>
      </c>
      <c r="E121" s="4" t="s">
        <v>915</v>
      </c>
      <c r="F121" s="4" t="s">
        <v>916</v>
      </c>
      <c r="G121" s="4" t="s">
        <v>861</v>
      </c>
      <c r="H121" s="4" t="s">
        <v>186</v>
      </c>
      <c r="I121" s="4" t="s">
        <v>917</v>
      </c>
      <c r="J121" s="4"/>
      <c r="K121" s="5"/>
      <c r="L121" s="5"/>
      <c r="M121" s="4" t="s">
        <v>53</v>
      </c>
      <c r="N121" s="4" t="s">
        <v>13</v>
      </c>
      <c r="O121" s="4"/>
      <c r="P121" s="4"/>
      <c r="Q121" s="4"/>
      <c r="R121" s="4"/>
      <c r="S121" s="4" t="s">
        <v>918</v>
      </c>
      <c r="T121" s="4" t="s">
        <v>592</v>
      </c>
      <c r="U121" s="4" t="s">
        <v>469</v>
      </c>
      <c r="V121" s="4"/>
      <c r="W121" s="4" t="s">
        <v>493</v>
      </c>
      <c r="X121" s="4"/>
      <c r="Y121" s="4"/>
      <c r="Z121" s="4" t="s">
        <v>436</v>
      </c>
      <c r="AA121" s="4" t="s">
        <v>52</v>
      </c>
      <c r="AB121" s="4" t="s">
        <v>53</v>
      </c>
      <c r="AC121" s="4" t="s">
        <v>53</v>
      </c>
      <c r="AD121" s="4" t="s">
        <v>53</v>
      </c>
      <c r="AE121" s="4" t="s">
        <v>53</v>
      </c>
      <c r="AF121" s="4" t="s">
        <v>52</v>
      </c>
      <c r="AG121" s="4" t="s">
        <v>52</v>
      </c>
      <c r="AH121" s="4" t="s">
        <v>52</v>
      </c>
      <c r="AI121" s="4" t="s">
        <v>53</v>
      </c>
    </row>
    <row r="122" customFormat="false" ht="68.65" hidden="false" customHeight="false" outlineLevel="0" collapsed="false">
      <c r="A122" s="2" t="n">
        <v>121</v>
      </c>
      <c r="B122" s="2" t="s">
        <v>35</v>
      </c>
      <c r="C122" s="2" t="s">
        <v>36</v>
      </c>
      <c r="D122" s="2" t="s">
        <v>37</v>
      </c>
      <c r="E122" s="2" t="s">
        <v>919</v>
      </c>
      <c r="F122" s="2" t="s">
        <v>920</v>
      </c>
      <c r="G122" s="2" t="s">
        <v>921</v>
      </c>
      <c r="H122" s="2" t="s">
        <v>186</v>
      </c>
      <c r="I122" s="2" t="s">
        <v>451</v>
      </c>
      <c r="J122" s="2"/>
      <c r="K122" s="3"/>
      <c r="L122" s="3"/>
      <c r="M122" s="2" t="s">
        <v>53</v>
      </c>
      <c r="N122" s="2"/>
      <c r="O122" s="2"/>
      <c r="P122" s="2"/>
      <c r="Q122" s="2"/>
      <c r="R122" s="2"/>
      <c r="S122" s="2"/>
      <c r="T122" s="2"/>
      <c r="U122" s="2"/>
      <c r="V122" s="2"/>
      <c r="W122" s="2"/>
      <c r="X122" s="2" t="s">
        <v>922</v>
      </c>
      <c r="Y122" s="2"/>
      <c r="Z122" s="2" t="s">
        <v>923</v>
      </c>
      <c r="AA122" s="2" t="s">
        <v>53</v>
      </c>
      <c r="AB122" s="2" t="s">
        <v>53</v>
      </c>
      <c r="AC122" s="2" t="s">
        <v>53</v>
      </c>
      <c r="AD122" s="2" t="s">
        <v>53</v>
      </c>
      <c r="AE122" s="2" t="s">
        <v>53</v>
      </c>
      <c r="AF122" s="2" t="s">
        <v>53</v>
      </c>
      <c r="AG122" s="2" t="s">
        <v>53</v>
      </c>
      <c r="AH122" s="2" t="s">
        <v>53</v>
      </c>
      <c r="AI122" s="2" t="s">
        <v>53</v>
      </c>
    </row>
    <row r="123" customFormat="false" ht="23.85" hidden="false" customHeight="false" outlineLevel="0" collapsed="false">
      <c r="A123" s="4" t="n">
        <v>122</v>
      </c>
      <c r="B123" s="4" t="s">
        <v>35</v>
      </c>
      <c r="C123" s="4" t="s">
        <v>36</v>
      </c>
      <c r="D123" s="4" t="s">
        <v>37</v>
      </c>
      <c r="E123" s="4" t="s">
        <v>924</v>
      </c>
      <c r="F123" s="4"/>
      <c r="G123" s="4" t="s">
        <v>861</v>
      </c>
      <c r="H123" s="4" t="s">
        <v>925</v>
      </c>
      <c r="I123" s="4" t="s">
        <v>351</v>
      </c>
      <c r="J123" s="4"/>
      <c r="K123" s="5"/>
      <c r="L123" s="5"/>
      <c r="M123" s="4" t="s">
        <v>53</v>
      </c>
      <c r="N123" s="4"/>
      <c r="O123" s="4"/>
      <c r="P123" s="4"/>
      <c r="Q123" s="4"/>
      <c r="R123" s="4"/>
      <c r="S123" s="4"/>
      <c r="T123" s="4" t="s">
        <v>592</v>
      </c>
      <c r="U123" s="4"/>
      <c r="V123" s="4"/>
      <c r="W123" s="4" t="s">
        <v>926</v>
      </c>
      <c r="X123" s="4"/>
      <c r="Y123" s="4"/>
      <c r="Z123" s="4"/>
      <c r="AA123" s="4" t="s">
        <v>53</v>
      </c>
      <c r="AB123" s="4" t="s">
        <v>53</v>
      </c>
      <c r="AC123" s="4" t="s">
        <v>53</v>
      </c>
      <c r="AD123" s="4" t="s">
        <v>53</v>
      </c>
      <c r="AE123" s="4" t="s">
        <v>53</v>
      </c>
      <c r="AF123" s="4" t="s">
        <v>53</v>
      </c>
      <c r="AG123" s="4" t="s">
        <v>52</v>
      </c>
      <c r="AH123" s="4" t="s">
        <v>53</v>
      </c>
      <c r="AI123" s="4" t="s">
        <v>53</v>
      </c>
    </row>
    <row r="124" customFormat="false" ht="35.05" hidden="false" customHeight="false" outlineLevel="0" collapsed="false">
      <c r="A124" s="2" t="n">
        <v>123</v>
      </c>
      <c r="B124" s="2" t="s">
        <v>35</v>
      </c>
      <c r="C124" s="2" t="s">
        <v>36</v>
      </c>
      <c r="D124" s="2" t="s">
        <v>37</v>
      </c>
      <c r="E124" s="2" t="s">
        <v>927</v>
      </c>
      <c r="F124" s="2" t="s">
        <v>822</v>
      </c>
      <c r="G124" s="2" t="s">
        <v>928</v>
      </c>
      <c r="H124" s="2" t="s">
        <v>41</v>
      </c>
      <c r="I124" s="2" t="s">
        <v>929</v>
      </c>
      <c r="J124" s="2" t="s">
        <v>930</v>
      </c>
      <c r="K124" s="3" t="n">
        <v>846</v>
      </c>
      <c r="L124" s="3" t="n">
        <v>3315</v>
      </c>
      <c r="M124" s="2" t="s">
        <v>44</v>
      </c>
      <c r="N124" s="2"/>
      <c r="O124" s="2"/>
      <c r="P124" s="2"/>
      <c r="Q124" s="2"/>
      <c r="R124" s="2"/>
      <c r="S124" s="2" t="s">
        <v>159</v>
      </c>
      <c r="T124" s="2" t="s">
        <v>592</v>
      </c>
      <c r="U124" s="2" t="s">
        <v>931</v>
      </c>
      <c r="V124" s="2"/>
      <c r="W124" s="2" t="s">
        <v>932</v>
      </c>
      <c r="X124" s="2"/>
      <c r="Y124" s="2"/>
      <c r="Z124" s="2" t="s">
        <v>933</v>
      </c>
      <c r="AA124" s="2" t="s">
        <v>53</v>
      </c>
      <c r="AB124" s="2" t="s">
        <v>53</v>
      </c>
      <c r="AC124" s="2" t="s">
        <v>53</v>
      </c>
      <c r="AD124" s="2" t="s">
        <v>53</v>
      </c>
      <c r="AE124" s="2" t="s">
        <v>53</v>
      </c>
      <c r="AF124" s="2" t="s">
        <v>52</v>
      </c>
      <c r="AG124" s="2" t="s">
        <v>52</v>
      </c>
      <c r="AH124" s="2" t="s">
        <v>52</v>
      </c>
      <c r="AI124" s="2" t="s">
        <v>53</v>
      </c>
    </row>
    <row r="125" customFormat="false" ht="23.85" hidden="false" customHeight="false" outlineLevel="0" collapsed="false">
      <c r="A125" s="4" t="n">
        <v>124</v>
      </c>
      <c r="B125" s="4" t="s">
        <v>35</v>
      </c>
      <c r="C125" s="4" t="s">
        <v>36</v>
      </c>
      <c r="D125" s="4" t="s">
        <v>37</v>
      </c>
      <c r="E125" s="4" t="s">
        <v>934</v>
      </c>
      <c r="F125" s="4" t="s">
        <v>935</v>
      </c>
      <c r="G125" s="4" t="s">
        <v>936</v>
      </c>
      <c r="H125" s="4" t="s">
        <v>937</v>
      </c>
      <c r="I125" s="4" t="s">
        <v>938</v>
      </c>
      <c r="J125" s="4"/>
      <c r="K125" s="5"/>
      <c r="L125" s="5"/>
      <c r="M125" s="4" t="s">
        <v>53</v>
      </c>
      <c r="N125" s="4"/>
      <c r="O125" s="4"/>
      <c r="P125" s="4"/>
      <c r="Q125" s="4"/>
      <c r="R125" s="4"/>
      <c r="S125" s="4"/>
      <c r="T125" s="4"/>
      <c r="U125" s="4"/>
      <c r="V125" s="4"/>
      <c r="W125" s="4" t="s">
        <v>939</v>
      </c>
      <c r="X125" s="4"/>
      <c r="Y125" s="4"/>
      <c r="Z125" s="4" t="s">
        <v>370</v>
      </c>
      <c r="AA125" s="4" t="s">
        <v>53</v>
      </c>
      <c r="AB125" s="4" t="s">
        <v>53</v>
      </c>
      <c r="AC125" s="4" t="s">
        <v>53</v>
      </c>
      <c r="AD125" s="4" t="s">
        <v>53</v>
      </c>
      <c r="AE125" s="4" t="s">
        <v>53</v>
      </c>
      <c r="AF125" s="4" t="s">
        <v>53</v>
      </c>
      <c r="AG125" s="4" t="s">
        <v>53</v>
      </c>
      <c r="AH125" s="4" t="s">
        <v>53</v>
      </c>
      <c r="AI125" s="4" t="s">
        <v>53</v>
      </c>
    </row>
    <row r="126" customFormat="false" ht="23.85" hidden="false" customHeight="false" outlineLevel="0" collapsed="false">
      <c r="A126" s="2" t="n">
        <v>125</v>
      </c>
      <c r="B126" s="2" t="s">
        <v>35</v>
      </c>
      <c r="C126" s="2" t="s">
        <v>36</v>
      </c>
      <c r="D126" s="2" t="s">
        <v>37</v>
      </c>
      <c r="E126" s="2" t="s">
        <v>940</v>
      </c>
      <c r="F126" s="2" t="s">
        <v>275</v>
      </c>
      <c r="G126" s="2" t="s">
        <v>941</v>
      </c>
      <c r="H126" s="2" t="s">
        <v>942</v>
      </c>
      <c r="I126" s="2" t="s">
        <v>943</v>
      </c>
      <c r="J126" s="2"/>
      <c r="K126" s="3"/>
      <c r="L126" s="3"/>
      <c r="M126" s="2" t="s">
        <v>53</v>
      </c>
      <c r="N126" s="2"/>
      <c r="O126" s="2"/>
      <c r="P126" s="2"/>
      <c r="Q126" s="2" t="s">
        <v>354</v>
      </c>
      <c r="R126" s="2"/>
      <c r="S126" s="2"/>
      <c r="T126" s="2" t="s">
        <v>592</v>
      </c>
      <c r="U126" s="2"/>
      <c r="V126" s="2"/>
      <c r="W126" s="2" t="s">
        <v>493</v>
      </c>
      <c r="X126" s="2"/>
      <c r="Y126" s="2"/>
      <c r="Z126" s="2" t="s">
        <v>182</v>
      </c>
      <c r="AA126" s="2" t="s">
        <v>53</v>
      </c>
      <c r="AB126" s="2" t="s">
        <v>53</v>
      </c>
      <c r="AC126" s="2" t="s">
        <v>53</v>
      </c>
      <c r="AD126" s="2" t="s">
        <v>52</v>
      </c>
      <c r="AE126" s="2" t="s">
        <v>53</v>
      </c>
      <c r="AF126" s="2" t="s">
        <v>53</v>
      </c>
      <c r="AG126" s="2" t="s">
        <v>52</v>
      </c>
      <c r="AH126" s="2" t="s">
        <v>53</v>
      </c>
      <c r="AI126" s="2" t="s">
        <v>53</v>
      </c>
    </row>
    <row r="127" customFormat="false" ht="46.25" hidden="false" customHeight="false" outlineLevel="0" collapsed="false">
      <c r="A127" s="4" t="n">
        <v>126</v>
      </c>
      <c r="B127" s="4" t="s">
        <v>35</v>
      </c>
      <c r="C127" s="4" t="s">
        <v>36</v>
      </c>
      <c r="D127" s="4" t="s">
        <v>37</v>
      </c>
      <c r="E127" s="4" t="s">
        <v>944</v>
      </c>
      <c r="F127" s="4" t="s">
        <v>945</v>
      </c>
      <c r="G127" s="4" t="s">
        <v>946</v>
      </c>
      <c r="H127" s="4" t="s">
        <v>479</v>
      </c>
      <c r="I127" s="4" t="s">
        <v>947</v>
      </c>
      <c r="J127" s="4" t="s">
        <v>948</v>
      </c>
      <c r="K127" s="5" t="n">
        <v>2995</v>
      </c>
      <c r="L127" s="5" t="n">
        <v>3770</v>
      </c>
      <c r="M127" s="4" t="s">
        <v>44</v>
      </c>
      <c r="N127" s="4" t="s">
        <v>13</v>
      </c>
      <c r="O127" s="4"/>
      <c r="P127" s="4" t="s">
        <v>949</v>
      </c>
      <c r="Q127" s="4"/>
      <c r="R127" s="4"/>
      <c r="S127" s="4"/>
      <c r="T127" s="4" t="s">
        <v>592</v>
      </c>
      <c r="U127" s="4" t="s">
        <v>950</v>
      </c>
      <c r="V127" s="4"/>
      <c r="W127" s="4" t="s">
        <v>951</v>
      </c>
      <c r="X127" s="4"/>
      <c r="Y127" s="4"/>
      <c r="Z127" s="4" t="s">
        <v>666</v>
      </c>
      <c r="AA127" s="4" t="s">
        <v>52</v>
      </c>
      <c r="AB127" s="4" t="s">
        <v>53</v>
      </c>
      <c r="AC127" s="4" t="s">
        <v>52</v>
      </c>
      <c r="AD127" s="4" t="s">
        <v>53</v>
      </c>
      <c r="AE127" s="4" t="s">
        <v>53</v>
      </c>
      <c r="AF127" s="4" t="s">
        <v>53</v>
      </c>
      <c r="AG127" s="4" t="s">
        <v>52</v>
      </c>
      <c r="AH127" s="4" t="s">
        <v>52</v>
      </c>
      <c r="AI127" s="4" t="s">
        <v>53</v>
      </c>
    </row>
    <row r="128" customFormat="false" ht="23.85" hidden="false" customHeight="false" outlineLevel="0" collapsed="false">
      <c r="A128" s="2" t="n">
        <v>127</v>
      </c>
      <c r="B128" s="2" t="s">
        <v>35</v>
      </c>
      <c r="C128" s="2" t="s">
        <v>36</v>
      </c>
      <c r="D128" s="2" t="s">
        <v>37</v>
      </c>
      <c r="E128" s="2" t="s">
        <v>952</v>
      </c>
      <c r="F128" s="2" t="s">
        <v>953</v>
      </c>
      <c r="G128" s="2" t="s">
        <v>954</v>
      </c>
      <c r="H128" s="2" t="s">
        <v>767</v>
      </c>
      <c r="I128" s="2" t="s">
        <v>955</v>
      </c>
      <c r="J128" s="2"/>
      <c r="K128" s="3"/>
      <c r="L128" s="3"/>
      <c r="M128" s="2" t="s">
        <v>53</v>
      </c>
      <c r="N128" s="2"/>
      <c r="O128" s="2" t="s">
        <v>956</v>
      </c>
      <c r="P128" s="2"/>
      <c r="Q128" s="2"/>
      <c r="R128" s="2" t="s">
        <v>957</v>
      </c>
      <c r="S128" s="2"/>
      <c r="T128" s="2"/>
      <c r="U128" s="2"/>
      <c r="V128" s="2"/>
      <c r="W128" s="2" t="s">
        <v>139</v>
      </c>
      <c r="X128" s="2"/>
      <c r="Y128" s="2"/>
      <c r="Z128" s="2" t="s">
        <v>436</v>
      </c>
      <c r="AA128" s="2" t="s">
        <v>53</v>
      </c>
      <c r="AB128" s="2" t="s">
        <v>52</v>
      </c>
      <c r="AC128" s="2" t="s">
        <v>53</v>
      </c>
      <c r="AD128" s="2" t="s">
        <v>53</v>
      </c>
      <c r="AE128" s="2" t="s">
        <v>52</v>
      </c>
      <c r="AF128" s="2" t="s">
        <v>53</v>
      </c>
      <c r="AG128" s="2" t="s">
        <v>53</v>
      </c>
      <c r="AH128" s="2" t="s">
        <v>53</v>
      </c>
      <c r="AI128" s="2" t="s">
        <v>53</v>
      </c>
    </row>
    <row r="129" customFormat="false" ht="23.85" hidden="false" customHeight="false" outlineLevel="0" collapsed="false">
      <c r="A129" s="4" t="n">
        <v>128</v>
      </c>
      <c r="B129" s="4" t="s">
        <v>35</v>
      </c>
      <c r="C129" s="4" t="s">
        <v>36</v>
      </c>
      <c r="D129" s="4" t="s">
        <v>37</v>
      </c>
      <c r="E129" s="4" t="s">
        <v>958</v>
      </c>
      <c r="F129" s="4" t="s">
        <v>959</v>
      </c>
      <c r="G129" s="4" t="s">
        <v>960</v>
      </c>
      <c r="H129" s="4" t="s">
        <v>186</v>
      </c>
      <c r="I129" s="4" t="s">
        <v>961</v>
      </c>
      <c r="J129" s="4"/>
      <c r="K129" s="5"/>
      <c r="L129" s="5"/>
      <c r="M129" s="4" t="s">
        <v>53</v>
      </c>
      <c r="N129" s="4"/>
      <c r="O129" s="4"/>
      <c r="P129" s="4"/>
      <c r="Q129" s="4"/>
      <c r="R129" s="4"/>
      <c r="S129" s="4"/>
      <c r="T129" s="4" t="s">
        <v>592</v>
      </c>
      <c r="U129" s="4" t="s">
        <v>962</v>
      </c>
      <c r="V129" s="4"/>
      <c r="W129" s="4" t="s">
        <v>963</v>
      </c>
      <c r="X129" s="4"/>
      <c r="Y129" s="4"/>
      <c r="Z129" s="4" t="s">
        <v>342</v>
      </c>
      <c r="AA129" s="4" t="s">
        <v>53</v>
      </c>
      <c r="AB129" s="4" t="s">
        <v>53</v>
      </c>
      <c r="AC129" s="4" t="s">
        <v>53</v>
      </c>
      <c r="AD129" s="4" t="s">
        <v>53</v>
      </c>
      <c r="AE129" s="4" t="s">
        <v>53</v>
      </c>
      <c r="AF129" s="4" t="s">
        <v>53</v>
      </c>
      <c r="AG129" s="4" t="s">
        <v>52</v>
      </c>
      <c r="AH129" s="4" t="s">
        <v>52</v>
      </c>
      <c r="AI129" s="4" t="s">
        <v>53</v>
      </c>
    </row>
    <row r="130" customFormat="false" ht="23.85" hidden="false" customHeight="false" outlineLevel="0" collapsed="false">
      <c r="A130" s="2" t="n">
        <v>129</v>
      </c>
      <c r="B130" s="2" t="s">
        <v>35</v>
      </c>
      <c r="C130" s="2" t="s">
        <v>36</v>
      </c>
      <c r="D130" s="2" t="s">
        <v>37</v>
      </c>
      <c r="E130" s="2" t="s">
        <v>964</v>
      </c>
      <c r="F130" s="2" t="s">
        <v>965</v>
      </c>
      <c r="G130" s="2" t="s">
        <v>960</v>
      </c>
      <c r="H130" s="2" t="s">
        <v>222</v>
      </c>
      <c r="I130" s="2" t="s">
        <v>966</v>
      </c>
      <c r="J130" s="2"/>
      <c r="K130" s="3"/>
      <c r="L130" s="3"/>
      <c r="M130" s="2" t="s">
        <v>53</v>
      </c>
      <c r="N130" s="2"/>
      <c r="O130" s="2"/>
      <c r="P130" s="2"/>
      <c r="Q130" s="2"/>
      <c r="R130" s="2"/>
      <c r="S130" s="2" t="s">
        <v>159</v>
      </c>
      <c r="T130" s="2"/>
      <c r="U130" s="2"/>
      <c r="V130" s="2"/>
      <c r="W130" s="2" t="s">
        <v>967</v>
      </c>
      <c r="X130" s="2"/>
      <c r="Y130" s="2"/>
      <c r="Z130" s="2" t="s">
        <v>280</v>
      </c>
      <c r="AA130" s="2" t="s">
        <v>53</v>
      </c>
      <c r="AB130" s="2" t="s">
        <v>53</v>
      </c>
      <c r="AC130" s="2" t="s">
        <v>53</v>
      </c>
      <c r="AD130" s="2" t="s">
        <v>53</v>
      </c>
      <c r="AE130" s="2" t="s">
        <v>53</v>
      </c>
      <c r="AF130" s="2" t="s">
        <v>52</v>
      </c>
      <c r="AG130" s="2" t="s">
        <v>53</v>
      </c>
      <c r="AH130" s="2" t="s">
        <v>53</v>
      </c>
      <c r="AI130" s="2" t="s">
        <v>53</v>
      </c>
    </row>
    <row r="131" customFormat="false" ht="23.85" hidden="false" customHeight="false" outlineLevel="0" collapsed="false">
      <c r="A131" s="4" t="n">
        <v>130</v>
      </c>
      <c r="B131" s="4" t="s">
        <v>35</v>
      </c>
      <c r="C131" s="4" t="s">
        <v>36</v>
      </c>
      <c r="D131" s="4" t="s">
        <v>37</v>
      </c>
      <c r="E131" s="4" t="s">
        <v>968</v>
      </c>
      <c r="F131" s="4" t="s">
        <v>969</v>
      </c>
      <c r="G131" s="4" t="s">
        <v>970</v>
      </c>
      <c r="H131" s="4" t="s">
        <v>186</v>
      </c>
      <c r="I131" s="4" t="s">
        <v>971</v>
      </c>
      <c r="J131" s="4"/>
      <c r="K131" s="5"/>
      <c r="L131" s="5"/>
      <c r="M131" s="4" t="s">
        <v>53</v>
      </c>
      <c r="N131" s="4"/>
      <c r="O131" s="4"/>
      <c r="P131" s="4"/>
      <c r="Q131" s="4"/>
      <c r="R131" s="4"/>
      <c r="S131" s="4"/>
      <c r="T131" s="4"/>
      <c r="U131" s="4"/>
      <c r="V131" s="4"/>
      <c r="W131" s="4"/>
      <c r="X131" s="4" t="s">
        <v>583</v>
      </c>
      <c r="Y131" s="4"/>
      <c r="Z131" s="4" t="s">
        <v>109</v>
      </c>
      <c r="AA131" s="4" t="s">
        <v>53</v>
      </c>
      <c r="AB131" s="4" t="s">
        <v>53</v>
      </c>
      <c r="AC131" s="4" t="s">
        <v>53</v>
      </c>
      <c r="AD131" s="4" t="s">
        <v>53</v>
      </c>
      <c r="AE131" s="4" t="s">
        <v>53</v>
      </c>
      <c r="AF131" s="4" t="s">
        <v>53</v>
      </c>
      <c r="AG131" s="4" t="s">
        <v>53</v>
      </c>
      <c r="AH131" s="4" t="s">
        <v>53</v>
      </c>
      <c r="AI131" s="4" t="s">
        <v>53</v>
      </c>
    </row>
    <row r="132" customFormat="false" ht="23.85" hidden="false" customHeight="false" outlineLevel="0" collapsed="false">
      <c r="A132" s="2" t="n">
        <v>131</v>
      </c>
      <c r="B132" s="2" t="s">
        <v>35</v>
      </c>
      <c r="C132" s="2" t="s">
        <v>36</v>
      </c>
      <c r="D132" s="2" t="s">
        <v>37</v>
      </c>
      <c r="E132" s="2" t="s">
        <v>972</v>
      </c>
      <c r="F132" s="2" t="s">
        <v>973</v>
      </c>
      <c r="G132" s="2" t="s">
        <v>974</v>
      </c>
      <c r="H132" s="2" t="s">
        <v>186</v>
      </c>
      <c r="I132" s="2" t="s">
        <v>975</v>
      </c>
      <c r="J132" s="2"/>
      <c r="K132" s="3"/>
      <c r="L132" s="3"/>
      <c r="M132" s="2" t="s">
        <v>53</v>
      </c>
      <c r="N132" s="2"/>
      <c r="O132" s="2"/>
      <c r="P132" s="2"/>
      <c r="Q132" s="2" t="s">
        <v>354</v>
      </c>
      <c r="R132" s="2"/>
      <c r="S132" s="2"/>
      <c r="T132" s="2" t="s">
        <v>592</v>
      </c>
      <c r="U132" s="2" t="s">
        <v>976</v>
      </c>
      <c r="V132" s="2"/>
      <c r="W132" s="2"/>
      <c r="X132" s="2"/>
      <c r="Y132" s="2"/>
      <c r="Z132" s="2"/>
      <c r="AA132" s="2" t="s">
        <v>53</v>
      </c>
      <c r="AB132" s="2" t="s">
        <v>53</v>
      </c>
      <c r="AC132" s="2" t="s">
        <v>53</v>
      </c>
      <c r="AD132" s="2" t="s">
        <v>52</v>
      </c>
      <c r="AE132" s="2" t="s">
        <v>53</v>
      </c>
      <c r="AF132" s="2" t="s">
        <v>53</v>
      </c>
      <c r="AG132" s="2" t="s">
        <v>52</v>
      </c>
      <c r="AH132" s="2" t="s">
        <v>52</v>
      </c>
      <c r="AI132" s="2" t="s">
        <v>53</v>
      </c>
    </row>
    <row r="133" customFormat="false" ht="35.05" hidden="false" customHeight="false" outlineLevel="0" collapsed="false">
      <c r="A133" s="4" t="n">
        <v>132</v>
      </c>
      <c r="B133" s="4" t="s">
        <v>35</v>
      </c>
      <c r="C133" s="4" t="s">
        <v>36</v>
      </c>
      <c r="D133" s="4" t="s">
        <v>37</v>
      </c>
      <c r="E133" s="4" t="s">
        <v>977</v>
      </c>
      <c r="F133" s="4" t="s">
        <v>978</v>
      </c>
      <c r="G133" s="4" t="s">
        <v>979</v>
      </c>
      <c r="H133" s="4" t="s">
        <v>186</v>
      </c>
      <c r="I133" s="4" t="s">
        <v>654</v>
      </c>
      <c r="J133" s="4"/>
      <c r="K133" s="5"/>
      <c r="L133" s="5"/>
      <c r="M133" s="4" t="s">
        <v>53</v>
      </c>
      <c r="N133" s="4"/>
      <c r="O133" s="4" t="s">
        <v>980</v>
      </c>
      <c r="P133" s="4"/>
      <c r="Q133" s="4"/>
      <c r="R133" s="4"/>
      <c r="S133" s="4"/>
      <c r="T133" s="4"/>
      <c r="U133" s="4" t="s">
        <v>981</v>
      </c>
      <c r="V133" s="4"/>
      <c r="W133" s="4" t="s">
        <v>982</v>
      </c>
      <c r="X133" s="4" t="s">
        <v>983</v>
      </c>
      <c r="Y133" s="4"/>
      <c r="Z133" s="4"/>
      <c r="AA133" s="4" t="s">
        <v>53</v>
      </c>
      <c r="AB133" s="4" t="s">
        <v>52</v>
      </c>
      <c r="AC133" s="4" t="s">
        <v>53</v>
      </c>
      <c r="AD133" s="4" t="s">
        <v>53</v>
      </c>
      <c r="AE133" s="4" t="s">
        <v>53</v>
      </c>
      <c r="AF133" s="4" t="s">
        <v>53</v>
      </c>
      <c r="AG133" s="4" t="s">
        <v>53</v>
      </c>
      <c r="AH133" s="4" t="s">
        <v>52</v>
      </c>
      <c r="AI133" s="4" t="s">
        <v>53</v>
      </c>
    </row>
    <row r="134" customFormat="false" ht="23.85" hidden="false" customHeight="false" outlineLevel="0" collapsed="false">
      <c r="A134" s="2" t="n">
        <v>133</v>
      </c>
      <c r="B134" s="2" t="s">
        <v>35</v>
      </c>
      <c r="C134" s="2" t="s">
        <v>36</v>
      </c>
      <c r="D134" s="2" t="s">
        <v>37</v>
      </c>
      <c r="E134" s="2" t="s">
        <v>984</v>
      </c>
      <c r="F134" s="2" t="s">
        <v>985</v>
      </c>
      <c r="G134" s="2" t="s">
        <v>986</v>
      </c>
      <c r="H134" s="2" t="s">
        <v>186</v>
      </c>
      <c r="I134" s="2" t="s">
        <v>521</v>
      </c>
      <c r="J134" s="2"/>
      <c r="K134" s="3"/>
      <c r="L134" s="3"/>
      <c r="M134" s="2" t="s">
        <v>53</v>
      </c>
      <c r="N134" s="2"/>
      <c r="O134" s="2"/>
      <c r="P134" s="2"/>
      <c r="Q134" s="2"/>
      <c r="R134" s="2"/>
      <c r="S134" s="2"/>
      <c r="T134" s="2"/>
      <c r="U134" s="2"/>
      <c r="V134" s="2"/>
      <c r="W134" s="2" t="s">
        <v>139</v>
      </c>
      <c r="X134" s="2"/>
      <c r="Y134" s="2"/>
      <c r="Z134" s="2"/>
      <c r="AA134" s="2" t="s">
        <v>53</v>
      </c>
      <c r="AB134" s="2" t="s">
        <v>53</v>
      </c>
      <c r="AC134" s="2" t="s">
        <v>53</v>
      </c>
      <c r="AD134" s="2" t="s">
        <v>53</v>
      </c>
      <c r="AE134" s="2" t="s">
        <v>53</v>
      </c>
      <c r="AF134" s="2" t="s">
        <v>53</v>
      </c>
      <c r="AG134" s="2" t="s">
        <v>53</v>
      </c>
      <c r="AH134" s="2" t="s">
        <v>53</v>
      </c>
      <c r="AI134" s="2" t="s">
        <v>53</v>
      </c>
    </row>
    <row r="135" customFormat="false" ht="23.85" hidden="false" customHeight="false" outlineLevel="0" collapsed="false">
      <c r="A135" s="4" t="n">
        <v>134</v>
      </c>
      <c r="B135" s="4" t="s">
        <v>35</v>
      </c>
      <c r="C135" s="4" t="s">
        <v>36</v>
      </c>
      <c r="D135" s="4" t="s">
        <v>37</v>
      </c>
      <c r="E135" s="4" t="s">
        <v>987</v>
      </c>
      <c r="F135" s="4" t="s">
        <v>988</v>
      </c>
      <c r="G135" s="4" t="s">
        <v>438</v>
      </c>
      <c r="H135" s="4" t="s">
        <v>479</v>
      </c>
      <c r="I135" s="4" t="s">
        <v>989</v>
      </c>
      <c r="J135" s="4" t="s">
        <v>990</v>
      </c>
      <c r="K135" s="5" t="n">
        <v>2728</v>
      </c>
      <c r="L135" s="5" t="n">
        <v>4628</v>
      </c>
      <c r="M135" s="4" t="s">
        <v>44</v>
      </c>
      <c r="N135" s="4"/>
      <c r="O135" s="4"/>
      <c r="P135" s="4"/>
      <c r="Q135" s="4"/>
      <c r="R135" s="4"/>
      <c r="S135" s="4"/>
      <c r="T135" s="4"/>
      <c r="U135" s="4"/>
      <c r="V135" s="4"/>
      <c r="W135" s="4" t="s">
        <v>139</v>
      </c>
      <c r="X135" s="4"/>
      <c r="Y135" s="4"/>
      <c r="Z135" s="4" t="s">
        <v>87</v>
      </c>
      <c r="AA135" s="4" t="s">
        <v>53</v>
      </c>
      <c r="AB135" s="4" t="s">
        <v>53</v>
      </c>
      <c r="AC135" s="4" t="s">
        <v>53</v>
      </c>
      <c r="AD135" s="4" t="s">
        <v>53</v>
      </c>
      <c r="AE135" s="4" t="s">
        <v>53</v>
      </c>
      <c r="AF135" s="4" t="s">
        <v>53</v>
      </c>
      <c r="AG135" s="4" t="s">
        <v>53</v>
      </c>
      <c r="AH135" s="4" t="s">
        <v>53</v>
      </c>
      <c r="AI135" s="4" t="s">
        <v>53</v>
      </c>
    </row>
    <row r="136" customFormat="false" ht="23.85" hidden="false" customHeight="false" outlineLevel="0" collapsed="false">
      <c r="A136" s="2" t="n">
        <v>135</v>
      </c>
      <c r="B136" s="2" t="s">
        <v>35</v>
      </c>
      <c r="C136" s="2" t="s">
        <v>36</v>
      </c>
      <c r="D136" s="2" t="s">
        <v>37</v>
      </c>
      <c r="E136" s="2" t="s">
        <v>991</v>
      </c>
      <c r="F136" s="2" t="s">
        <v>992</v>
      </c>
      <c r="G136" s="2" t="s">
        <v>974</v>
      </c>
      <c r="H136" s="2" t="s">
        <v>993</v>
      </c>
      <c r="I136" s="2" t="s">
        <v>994</v>
      </c>
      <c r="J136" s="2"/>
      <c r="K136" s="3"/>
      <c r="L136" s="3"/>
      <c r="M136" s="2" t="s">
        <v>53</v>
      </c>
      <c r="N136" s="2"/>
      <c r="O136" s="2"/>
      <c r="P136" s="2"/>
      <c r="Q136" s="2"/>
      <c r="R136" s="2"/>
      <c r="S136" s="2" t="s">
        <v>48</v>
      </c>
      <c r="T136" s="2"/>
      <c r="U136" s="2" t="s">
        <v>995</v>
      </c>
      <c r="V136" s="2"/>
      <c r="W136" s="2"/>
      <c r="X136" s="2"/>
      <c r="Y136" s="2"/>
      <c r="Z136" s="2"/>
      <c r="AA136" s="2" t="s">
        <v>53</v>
      </c>
      <c r="AB136" s="2" t="s">
        <v>53</v>
      </c>
      <c r="AC136" s="2" t="s">
        <v>53</v>
      </c>
      <c r="AD136" s="2" t="s">
        <v>53</v>
      </c>
      <c r="AE136" s="2" t="s">
        <v>53</v>
      </c>
      <c r="AF136" s="2" t="s">
        <v>52</v>
      </c>
      <c r="AG136" s="2" t="s">
        <v>53</v>
      </c>
      <c r="AH136" s="2" t="s">
        <v>52</v>
      </c>
      <c r="AI136" s="2" t="s">
        <v>53</v>
      </c>
    </row>
    <row r="137" customFormat="false" ht="23.85" hidden="false" customHeight="false" outlineLevel="0" collapsed="false">
      <c r="A137" s="4" t="n">
        <v>136</v>
      </c>
      <c r="B137" s="4" t="s">
        <v>35</v>
      </c>
      <c r="C137" s="4" t="s">
        <v>36</v>
      </c>
      <c r="D137" s="4" t="s">
        <v>37</v>
      </c>
      <c r="E137" s="4" t="s">
        <v>996</v>
      </c>
      <c r="F137" s="4" t="s">
        <v>997</v>
      </c>
      <c r="G137" s="4" t="s">
        <v>998</v>
      </c>
      <c r="H137" s="4" t="s">
        <v>479</v>
      </c>
      <c r="I137" s="4" t="s">
        <v>999</v>
      </c>
      <c r="J137" s="4" t="s">
        <v>1000</v>
      </c>
      <c r="K137" s="5" t="n">
        <v>1804</v>
      </c>
      <c r="L137" s="5" t="n">
        <v>1903</v>
      </c>
      <c r="M137" s="4" t="s">
        <v>44</v>
      </c>
      <c r="N137" s="4"/>
      <c r="O137" s="4"/>
      <c r="P137" s="4"/>
      <c r="Q137" s="4"/>
      <c r="R137" s="4"/>
      <c r="S137" s="4"/>
      <c r="T137" s="4" t="s">
        <v>592</v>
      </c>
      <c r="U137" s="4" t="s">
        <v>1001</v>
      </c>
      <c r="V137" s="4"/>
      <c r="W137" s="4" t="s">
        <v>139</v>
      </c>
      <c r="X137" s="4"/>
      <c r="Y137" s="4"/>
      <c r="Z137" s="4" t="s">
        <v>1002</v>
      </c>
      <c r="AA137" s="4" t="s">
        <v>53</v>
      </c>
      <c r="AB137" s="4" t="s">
        <v>53</v>
      </c>
      <c r="AC137" s="4" t="s">
        <v>53</v>
      </c>
      <c r="AD137" s="4" t="s">
        <v>53</v>
      </c>
      <c r="AE137" s="4" t="s">
        <v>53</v>
      </c>
      <c r="AF137" s="4" t="s">
        <v>53</v>
      </c>
      <c r="AG137" s="4" t="s">
        <v>52</v>
      </c>
      <c r="AH137" s="4" t="s">
        <v>52</v>
      </c>
      <c r="AI137" s="4" t="s">
        <v>53</v>
      </c>
    </row>
    <row r="138" customFormat="false" ht="35.05" hidden="false" customHeight="false" outlineLevel="0" collapsed="false">
      <c r="A138" s="2" t="n">
        <v>137</v>
      </c>
      <c r="B138" s="2" t="s">
        <v>35</v>
      </c>
      <c r="C138" s="2" t="s">
        <v>36</v>
      </c>
      <c r="D138" s="2" t="s">
        <v>37</v>
      </c>
      <c r="E138" s="2" t="s">
        <v>1003</v>
      </c>
      <c r="F138" s="2" t="s">
        <v>997</v>
      </c>
      <c r="G138" s="2" t="s">
        <v>998</v>
      </c>
      <c r="H138" s="2" t="s">
        <v>479</v>
      </c>
      <c r="I138" s="2" t="s">
        <v>1004</v>
      </c>
      <c r="J138" s="2" t="s">
        <v>1005</v>
      </c>
      <c r="K138" s="3" t="n">
        <v>1804</v>
      </c>
      <c r="L138" s="3" t="n">
        <v>1999</v>
      </c>
      <c r="M138" s="2" t="s">
        <v>44</v>
      </c>
      <c r="N138" s="2"/>
      <c r="O138" s="2"/>
      <c r="P138" s="2"/>
      <c r="Q138" s="2"/>
      <c r="R138" s="2"/>
      <c r="S138" s="2"/>
      <c r="T138" s="2" t="s">
        <v>592</v>
      </c>
      <c r="U138" s="2" t="s">
        <v>1001</v>
      </c>
      <c r="V138" s="2"/>
      <c r="W138" s="2" t="s">
        <v>139</v>
      </c>
      <c r="X138" s="2"/>
      <c r="Y138" s="2"/>
      <c r="Z138" s="2" t="s">
        <v>1006</v>
      </c>
      <c r="AA138" s="2" t="s">
        <v>53</v>
      </c>
      <c r="AB138" s="2" t="s">
        <v>53</v>
      </c>
      <c r="AC138" s="2" t="s">
        <v>53</v>
      </c>
      <c r="AD138" s="2" t="s">
        <v>53</v>
      </c>
      <c r="AE138" s="2" t="s">
        <v>53</v>
      </c>
      <c r="AF138" s="2" t="s">
        <v>53</v>
      </c>
      <c r="AG138" s="2" t="s">
        <v>52</v>
      </c>
      <c r="AH138" s="2" t="s">
        <v>52</v>
      </c>
      <c r="AI138" s="2" t="s">
        <v>53</v>
      </c>
    </row>
    <row r="139" customFormat="false" ht="23.85" hidden="false" customHeight="false" outlineLevel="0" collapsed="false">
      <c r="A139" s="4" t="n">
        <v>138</v>
      </c>
      <c r="B139" s="4" t="s">
        <v>35</v>
      </c>
      <c r="C139" s="4" t="s">
        <v>36</v>
      </c>
      <c r="D139" s="4" t="s">
        <v>37</v>
      </c>
      <c r="E139" s="4" t="s">
        <v>1007</v>
      </c>
      <c r="F139" s="4" t="s">
        <v>1008</v>
      </c>
      <c r="G139" s="4" t="s">
        <v>1009</v>
      </c>
      <c r="H139" s="4" t="s">
        <v>925</v>
      </c>
      <c r="I139" s="4" t="s">
        <v>1010</v>
      </c>
      <c r="J139" s="4"/>
      <c r="K139" s="5"/>
      <c r="L139" s="5"/>
      <c r="M139" s="4" t="s">
        <v>53</v>
      </c>
      <c r="N139" s="4" t="s">
        <v>13</v>
      </c>
      <c r="O139" s="4"/>
      <c r="P139" s="4"/>
      <c r="Q139" s="4"/>
      <c r="R139" s="4"/>
      <c r="S139" s="4"/>
      <c r="T139" s="4" t="s">
        <v>592</v>
      </c>
      <c r="U139" s="4"/>
      <c r="V139" s="4"/>
      <c r="W139" s="4"/>
      <c r="X139" s="4"/>
      <c r="Y139" s="4"/>
      <c r="Z139" s="4" t="s">
        <v>342</v>
      </c>
      <c r="AA139" s="4" t="s">
        <v>52</v>
      </c>
      <c r="AB139" s="4" t="s">
        <v>53</v>
      </c>
      <c r="AC139" s="4" t="s">
        <v>53</v>
      </c>
      <c r="AD139" s="4" t="s">
        <v>53</v>
      </c>
      <c r="AE139" s="4" t="s">
        <v>53</v>
      </c>
      <c r="AF139" s="4" t="s">
        <v>53</v>
      </c>
      <c r="AG139" s="4" t="s">
        <v>52</v>
      </c>
      <c r="AH139" s="4" t="s">
        <v>53</v>
      </c>
      <c r="AI139" s="4" t="s">
        <v>53</v>
      </c>
    </row>
    <row r="140" customFormat="false" ht="23.85" hidden="false" customHeight="false" outlineLevel="0" collapsed="false">
      <c r="A140" s="2" t="n">
        <v>139</v>
      </c>
      <c r="B140" s="2" t="s">
        <v>35</v>
      </c>
      <c r="C140" s="2" t="s">
        <v>36</v>
      </c>
      <c r="D140" s="2" t="s">
        <v>37</v>
      </c>
      <c r="E140" s="2" t="s">
        <v>1011</v>
      </c>
      <c r="F140" s="2" t="s">
        <v>89</v>
      </c>
      <c r="G140" s="2" t="s">
        <v>1012</v>
      </c>
      <c r="H140" s="2" t="s">
        <v>479</v>
      </c>
      <c r="I140" s="2" t="s">
        <v>1013</v>
      </c>
      <c r="J140" s="2"/>
      <c r="K140" s="3"/>
      <c r="L140" s="3"/>
      <c r="M140" s="2" t="s">
        <v>44</v>
      </c>
      <c r="N140" s="2"/>
      <c r="O140" s="2"/>
      <c r="P140" s="2"/>
      <c r="Q140" s="2"/>
      <c r="R140" s="2"/>
      <c r="S140" s="2" t="s">
        <v>48</v>
      </c>
      <c r="T140" s="2"/>
      <c r="U140" s="2"/>
      <c r="V140" s="2"/>
      <c r="W140" s="2" t="s">
        <v>493</v>
      </c>
      <c r="X140" s="2" t="s">
        <v>1014</v>
      </c>
      <c r="Y140" s="2"/>
      <c r="Z140" s="2" t="s">
        <v>628</v>
      </c>
      <c r="AA140" s="2" t="s">
        <v>53</v>
      </c>
      <c r="AB140" s="2" t="s">
        <v>53</v>
      </c>
      <c r="AC140" s="2" t="s">
        <v>53</v>
      </c>
      <c r="AD140" s="2" t="s">
        <v>53</v>
      </c>
      <c r="AE140" s="2" t="s">
        <v>53</v>
      </c>
      <c r="AF140" s="2" t="s">
        <v>52</v>
      </c>
      <c r="AG140" s="2" t="s">
        <v>53</v>
      </c>
      <c r="AH140" s="2" t="s">
        <v>53</v>
      </c>
      <c r="AI140" s="2" t="s">
        <v>53</v>
      </c>
    </row>
    <row r="141" customFormat="false" ht="23.85" hidden="false" customHeight="false" outlineLevel="0" collapsed="false">
      <c r="A141" s="4" t="n">
        <v>140</v>
      </c>
      <c r="B141" s="4" t="s">
        <v>35</v>
      </c>
      <c r="C141" s="4" t="s">
        <v>36</v>
      </c>
      <c r="D141" s="4" t="s">
        <v>37</v>
      </c>
      <c r="E141" s="4" t="s">
        <v>1015</v>
      </c>
      <c r="F141" s="4" t="s">
        <v>1016</v>
      </c>
      <c r="G141" s="4" t="s">
        <v>848</v>
      </c>
      <c r="H141" s="4" t="s">
        <v>479</v>
      </c>
      <c r="I141" s="4" t="s">
        <v>1017</v>
      </c>
      <c r="J141" s="4"/>
      <c r="K141" s="5"/>
      <c r="L141" s="5"/>
      <c r="M141" s="4" t="s">
        <v>44</v>
      </c>
      <c r="N141" s="4" t="s">
        <v>13</v>
      </c>
      <c r="O141" s="4"/>
      <c r="P141" s="4"/>
      <c r="Q141" s="4"/>
      <c r="R141" s="4"/>
      <c r="S141" s="4" t="s">
        <v>159</v>
      </c>
      <c r="T141" s="4" t="s">
        <v>592</v>
      </c>
      <c r="U141" s="4" t="s">
        <v>1018</v>
      </c>
      <c r="V141" s="4"/>
      <c r="W141" s="4" t="s">
        <v>1019</v>
      </c>
      <c r="X141" s="4"/>
      <c r="Y141" s="4"/>
      <c r="Z141" s="4" t="s">
        <v>102</v>
      </c>
      <c r="AA141" s="4" t="s">
        <v>52</v>
      </c>
      <c r="AB141" s="4" t="s">
        <v>53</v>
      </c>
      <c r="AC141" s="4" t="s">
        <v>53</v>
      </c>
      <c r="AD141" s="4" t="s">
        <v>53</v>
      </c>
      <c r="AE141" s="4" t="s">
        <v>53</v>
      </c>
      <c r="AF141" s="4" t="s">
        <v>52</v>
      </c>
      <c r="AG141" s="4" t="s">
        <v>52</v>
      </c>
      <c r="AH141" s="4" t="s">
        <v>52</v>
      </c>
      <c r="AI141" s="4" t="s">
        <v>53</v>
      </c>
    </row>
    <row r="142" customFormat="false" ht="23.85" hidden="false" customHeight="false" outlineLevel="0" collapsed="false">
      <c r="A142" s="2" t="n">
        <v>141</v>
      </c>
      <c r="B142" s="2" t="s">
        <v>35</v>
      </c>
      <c r="C142" s="2" t="s">
        <v>36</v>
      </c>
      <c r="D142" s="2" t="s">
        <v>37</v>
      </c>
      <c r="E142" s="2" t="s">
        <v>1020</v>
      </c>
      <c r="F142" s="2" t="s">
        <v>194</v>
      </c>
      <c r="G142" s="2" t="s">
        <v>848</v>
      </c>
      <c r="H142" s="2" t="s">
        <v>925</v>
      </c>
      <c r="I142" s="2" t="s">
        <v>803</v>
      </c>
      <c r="J142" s="2" t="s">
        <v>1021</v>
      </c>
      <c r="K142" s="3" t="n">
        <v>2599</v>
      </c>
      <c r="L142" s="3" t="n">
        <v>2599</v>
      </c>
      <c r="M142" s="2" t="s">
        <v>53</v>
      </c>
      <c r="N142" s="2"/>
      <c r="O142" s="2"/>
      <c r="P142" s="2"/>
      <c r="Q142" s="2" t="s">
        <v>1022</v>
      </c>
      <c r="R142" s="2"/>
      <c r="S142" s="2"/>
      <c r="T142" s="2" t="s">
        <v>592</v>
      </c>
      <c r="U142" s="2" t="s">
        <v>882</v>
      </c>
      <c r="V142" s="2"/>
      <c r="W142" s="2" t="s">
        <v>139</v>
      </c>
      <c r="X142" s="2"/>
      <c r="Y142" s="2"/>
      <c r="Z142" s="2" t="s">
        <v>506</v>
      </c>
      <c r="AA142" s="2" t="s">
        <v>53</v>
      </c>
      <c r="AB142" s="2" t="s">
        <v>53</v>
      </c>
      <c r="AC142" s="2" t="s">
        <v>53</v>
      </c>
      <c r="AD142" s="2" t="s">
        <v>52</v>
      </c>
      <c r="AE142" s="2" t="s">
        <v>53</v>
      </c>
      <c r="AF142" s="2" t="s">
        <v>53</v>
      </c>
      <c r="AG142" s="2" t="s">
        <v>52</v>
      </c>
      <c r="AH142" s="2" t="s">
        <v>52</v>
      </c>
      <c r="AI142" s="2" t="s">
        <v>53</v>
      </c>
    </row>
    <row r="143" customFormat="false" ht="23.85" hidden="false" customHeight="false" outlineLevel="0" collapsed="false">
      <c r="A143" s="4" t="n">
        <v>142</v>
      </c>
      <c r="B143" s="4" t="s">
        <v>35</v>
      </c>
      <c r="C143" s="4" t="s">
        <v>36</v>
      </c>
      <c r="D143" s="4" t="s">
        <v>37</v>
      </c>
      <c r="E143" s="4" t="s">
        <v>1023</v>
      </c>
      <c r="F143" s="4" t="s">
        <v>1024</v>
      </c>
      <c r="G143" s="4" t="s">
        <v>848</v>
      </c>
      <c r="H143" s="4" t="s">
        <v>186</v>
      </c>
      <c r="I143" s="4" t="s">
        <v>803</v>
      </c>
      <c r="J143" s="4"/>
      <c r="K143" s="5"/>
      <c r="L143" s="5"/>
      <c r="M143" s="4" t="s">
        <v>53</v>
      </c>
      <c r="N143" s="4" t="s">
        <v>13</v>
      </c>
      <c r="O143" s="4"/>
      <c r="P143" s="4"/>
      <c r="Q143" s="4" t="s">
        <v>1025</v>
      </c>
      <c r="R143" s="4"/>
      <c r="S143" s="4" t="s">
        <v>159</v>
      </c>
      <c r="T143" s="4"/>
      <c r="U143" s="4"/>
      <c r="V143" s="4"/>
      <c r="W143" s="4" t="s">
        <v>493</v>
      </c>
      <c r="X143" s="4"/>
      <c r="Y143" s="4"/>
      <c r="Z143" s="4" t="s">
        <v>628</v>
      </c>
      <c r="AA143" s="4" t="s">
        <v>52</v>
      </c>
      <c r="AB143" s="4" t="s">
        <v>53</v>
      </c>
      <c r="AC143" s="4" t="s">
        <v>53</v>
      </c>
      <c r="AD143" s="4" t="s">
        <v>52</v>
      </c>
      <c r="AE143" s="4" t="s">
        <v>53</v>
      </c>
      <c r="AF143" s="4" t="s">
        <v>52</v>
      </c>
      <c r="AG143" s="4" t="s">
        <v>53</v>
      </c>
      <c r="AH143" s="4" t="s">
        <v>53</v>
      </c>
      <c r="AI143" s="4" t="s">
        <v>53</v>
      </c>
    </row>
    <row r="144" customFormat="false" ht="23.85" hidden="false" customHeight="false" outlineLevel="0" collapsed="false">
      <c r="A144" s="2" t="n">
        <v>143</v>
      </c>
      <c r="B144" s="2" t="s">
        <v>35</v>
      </c>
      <c r="C144" s="2" t="s">
        <v>36</v>
      </c>
      <c r="D144" s="2" t="s">
        <v>37</v>
      </c>
      <c r="E144" s="2" t="s">
        <v>1026</v>
      </c>
      <c r="F144" s="2" t="s">
        <v>1027</v>
      </c>
      <c r="G144" s="2" t="s">
        <v>1028</v>
      </c>
      <c r="H144" s="2" t="s">
        <v>186</v>
      </c>
      <c r="I144" s="2" t="s">
        <v>1029</v>
      </c>
      <c r="J144" s="2"/>
      <c r="K144" s="3"/>
      <c r="L144" s="3"/>
      <c r="M144" s="2" t="s">
        <v>53</v>
      </c>
      <c r="N144" s="2"/>
      <c r="O144" s="2"/>
      <c r="P144" s="2"/>
      <c r="Q144" s="2"/>
      <c r="R144" s="2"/>
      <c r="S144" s="2" t="s">
        <v>48</v>
      </c>
      <c r="T144" s="2" t="s">
        <v>592</v>
      </c>
      <c r="U144" s="2" t="s">
        <v>1030</v>
      </c>
      <c r="V144" s="2"/>
      <c r="W144" s="2" t="s">
        <v>1031</v>
      </c>
      <c r="X144" s="2"/>
      <c r="Y144" s="2"/>
      <c r="Z144" s="2" t="s">
        <v>327</v>
      </c>
      <c r="AA144" s="2" t="s">
        <v>53</v>
      </c>
      <c r="AB144" s="2" t="s">
        <v>53</v>
      </c>
      <c r="AC144" s="2" t="s">
        <v>53</v>
      </c>
      <c r="AD144" s="2" t="s">
        <v>53</v>
      </c>
      <c r="AE144" s="2" t="s">
        <v>53</v>
      </c>
      <c r="AF144" s="2" t="s">
        <v>52</v>
      </c>
      <c r="AG144" s="2" t="s">
        <v>52</v>
      </c>
      <c r="AH144" s="2" t="s">
        <v>52</v>
      </c>
      <c r="AI144" s="2" t="s">
        <v>53</v>
      </c>
    </row>
    <row r="145" customFormat="false" ht="35.05" hidden="false" customHeight="false" outlineLevel="0" collapsed="false">
      <c r="A145" s="4" t="n">
        <v>144</v>
      </c>
      <c r="B145" s="4" t="s">
        <v>35</v>
      </c>
      <c r="C145" s="4" t="s">
        <v>36</v>
      </c>
      <c r="D145" s="4" t="s">
        <v>37</v>
      </c>
      <c r="E145" s="4" t="s">
        <v>1032</v>
      </c>
      <c r="F145" s="4" t="s">
        <v>1033</v>
      </c>
      <c r="G145" s="4" t="s">
        <v>1034</v>
      </c>
      <c r="H145" s="4" t="s">
        <v>186</v>
      </c>
      <c r="I145" s="4" t="s">
        <v>1035</v>
      </c>
      <c r="J145" s="4"/>
      <c r="K145" s="5"/>
      <c r="L145" s="5"/>
      <c r="M145" s="4" t="s">
        <v>53</v>
      </c>
      <c r="N145" s="4"/>
      <c r="O145" s="4"/>
      <c r="P145" s="4"/>
      <c r="Q145" s="4"/>
      <c r="R145" s="4"/>
      <c r="S145" s="4"/>
      <c r="T145" s="4" t="s">
        <v>592</v>
      </c>
      <c r="U145" s="4"/>
      <c r="V145" s="4"/>
      <c r="W145" s="4" t="s">
        <v>1036</v>
      </c>
      <c r="X145" s="4"/>
      <c r="Y145" s="4"/>
      <c r="Z145" s="4" t="s">
        <v>1037</v>
      </c>
      <c r="AA145" s="4" t="s">
        <v>53</v>
      </c>
      <c r="AB145" s="4" t="s">
        <v>53</v>
      </c>
      <c r="AC145" s="4" t="s">
        <v>53</v>
      </c>
      <c r="AD145" s="4" t="s">
        <v>53</v>
      </c>
      <c r="AE145" s="4" t="s">
        <v>53</v>
      </c>
      <c r="AF145" s="4" t="s">
        <v>53</v>
      </c>
      <c r="AG145" s="4" t="s">
        <v>52</v>
      </c>
      <c r="AH145" s="4" t="s">
        <v>53</v>
      </c>
      <c r="AI145" s="4" t="s">
        <v>53</v>
      </c>
    </row>
    <row r="146" customFormat="false" ht="23.85" hidden="false" customHeight="false" outlineLevel="0" collapsed="false">
      <c r="A146" s="2" t="n">
        <v>145</v>
      </c>
      <c r="B146" s="2" t="s">
        <v>35</v>
      </c>
      <c r="C146" s="2" t="s">
        <v>36</v>
      </c>
      <c r="D146" s="2" t="s">
        <v>37</v>
      </c>
      <c r="E146" s="2" t="s">
        <v>1038</v>
      </c>
      <c r="F146" s="2" t="s">
        <v>1039</v>
      </c>
      <c r="G146" s="2" t="s">
        <v>1040</v>
      </c>
      <c r="H146" s="2" t="s">
        <v>186</v>
      </c>
      <c r="I146" s="2" t="s">
        <v>1041</v>
      </c>
      <c r="J146" s="2"/>
      <c r="K146" s="3"/>
      <c r="L146" s="3"/>
      <c r="M146" s="2" t="s">
        <v>53</v>
      </c>
      <c r="N146" s="2"/>
      <c r="O146" s="2"/>
      <c r="P146" s="2"/>
      <c r="Q146" s="2"/>
      <c r="R146" s="2"/>
      <c r="S146" s="2"/>
      <c r="T146" s="2"/>
      <c r="U146" s="2"/>
      <c r="V146" s="2"/>
      <c r="W146" s="2" t="s">
        <v>1042</v>
      </c>
      <c r="X146" s="2"/>
      <c r="Y146" s="2"/>
      <c r="Z146" s="2" t="s">
        <v>1043</v>
      </c>
      <c r="AA146" s="2" t="s">
        <v>53</v>
      </c>
      <c r="AB146" s="2" t="s">
        <v>53</v>
      </c>
      <c r="AC146" s="2" t="s">
        <v>53</v>
      </c>
      <c r="AD146" s="2" t="s">
        <v>53</v>
      </c>
      <c r="AE146" s="2" t="s">
        <v>53</v>
      </c>
      <c r="AF146" s="2" t="s">
        <v>53</v>
      </c>
      <c r="AG146" s="2" t="s">
        <v>53</v>
      </c>
      <c r="AH146" s="2" t="s">
        <v>53</v>
      </c>
      <c r="AI146" s="2" t="s">
        <v>53</v>
      </c>
    </row>
    <row r="147" customFormat="false" ht="79.85" hidden="false" customHeight="false" outlineLevel="0" collapsed="false">
      <c r="A147" s="4" t="n">
        <v>146</v>
      </c>
      <c r="B147" s="4" t="s">
        <v>35</v>
      </c>
      <c r="C147" s="4" t="s">
        <v>36</v>
      </c>
      <c r="D147" s="4" t="s">
        <v>37</v>
      </c>
      <c r="E147" s="4" t="s">
        <v>1044</v>
      </c>
      <c r="F147" s="4" t="s">
        <v>1045</v>
      </c>
      <c r="G147" s="4" t="s">
        <v>1046</v>
      </c>
      <c r="H147" s="4" t="s">
        <v>479</v>
      </c>
      <c r="I147" s="4" t="s">
        <v>1047</v>
      </c>
      <c r="J147" s="4" t="s">
        <v>1048</v>
      </c>
      <c r="K147" s="5" t="n">
        <v>3030</v>
      </c>
      <c r="L147" s="5" t="n">
        <v>6368</v>
      </c>
      <c r="M147" s="4" t="s">
        <v>44</v>
      </c>
      <c r="N147" s="4"/>
      <c r="O147" s="4"/>
      <c r="P147" s="4"/>
      <c r="Q147" s="4"/>
      <c r="R147" s="4"/>
      <c r="S147" s="4"/>
      <c r="T147" s="4"/>
      <c r="U147" s="4"/>
      <c r="V147" s="4"/>
      <c r="W147" s="4" t="s">
        <v>493</v>
      </c>
      <c r="X147" s="4"/>
      <c r="Y147" s="4"/>
      <c r="Z147" s="4" t="s">
        <v>723</v>
      </c>
      <c r="AA147" s="4" t="s">
        <v>53</v>
      </c>
      <c r="AB147" s="4" t="s">
        <v>53</v>
      </c>
      <c r="AC147" s="4" t="s">
        <v>53</v>
      </c>
      <c r="AD147" s="4" t="s">
        <v>53</v>
      </c>
      <c r="AE147" s="4" t="s">
        <v>53</v>
      </c>
      <c r="AF147" s="4" t="s">
        <v>53</v>
      </c>
      <c r="AG147" s="4" t="s">
        <v>53</v>
      </c>
      <c r="AH147" s="4" t="s">
        <v>53</v>
      </c>
      <c r="AI147" s="4" t="s">
        <v>53</v>
      </c>
    </row>
    <row r="148" customFormat="false" ht="23.85" hidden="false" customHeight="false" outlineLevel="0" collapsed="false">
      <c r="A148" s="2" t="n">
        <v>147</v>
      </c>
      <c r="B148" s="2" t="s">
        <v>35</v>
      </c>
      <c r="C148" s="2" t="s">
        <v>36</v>
      </c>
      <c r="D148" s="2" t="s">
        <v>37</v>
      </c>
      <c r="E148" s="2" t="s">
        <v>1049</v>
      </c>
      <c r="F148" s="2" t="s">
        <v>1050</v>
      </c>
      <c r="G148" s="2" t="s">
        <v>1051</v>
      </c>
      <c r="H148" s="2" t="s">
        <v>186</v>
      </c>
      <c r="I148" s="2" t="s">
        <v>1052</v>
      </c>
      <c r="J148" s="2"/>
      <c r="K148" s="3"/>
      <c r="L148" s="3"/>
      <c r="M148" s="2" t="s">
        <v>53</v>
      </c>
      <c r="N148" s="2"/>
      <c r="O148" s="2"/>
      <c r="P148" s="2"/>
      <c r="Q148" s="2"/>
      <c r="R148" s="2"/>
      <c r="S148" s="2"/>
      <c r="T148" s="2"/>
      <c r="U148" s="2"/>
      <c r="V148" s="2"/>
      <c r="W148" s="2" t="s">
        <v>493</v>
      </c>
      <c r="X148" s="2"/>
      <c r="Y148" s="2"/>
      <c r="Z148" s="2" t="s">
        <v>128</v>
      </c>
      <c r="AA148" s="2" t="s">
        <v>53</v>
      </c>
      <c r="AB148" s="2" t="s">
        <v>53</v>
      </c>
      <c r="AC148" s="2" t="s">
        <v>53</v>
      </c>
      <c r="AD148" s="2" t="s">
        <v>53</v>
      </c>
      <c r="AE148" s="2" t="s">
        <v>53</v>
      </c>
      <c r="AF148" s="2" t="s">
        <v>53</v>
      </c>
      <c r="AG148" s="2" t="s">
        <v>53</v>
      </c>
      <c r="AH148" s="2" t="s">
        <v>53</v>
      </c>
      <c r="AI148" s="2" t="s">
        <v>53</v>
      </c>
    </row>
    <row r="149" customFormat="false" ht="23.85" hidden="false" customHeight="false" outlineLevel="0" collapsed="false">
      <c r="A149" s="4" t="n">
        <v>148</v>
      </c>
      <c r="B149" s="4" t="s">
        <v>35</v>
      </c>
      <c r="C149" s="4" t="s">
        <v>36</v>
      </c>
      <c r="D149" s="4" t="s">
        <v>37</v>
      </c>
      <c r="E149" s="4" t="s">
        <v>1053</v>
      </c>
      <c r="F149" s="4" t="s">
        <v>1054</v>
      </c>
      <c r="G149" s="4" t="s">
        <v>1051</v>
      </c>
      <c r="H149" s="4" t="s">
        <v>41</v>
      </c>
      <c r="I149" s="4" t="s">
        <v>530</v>
      </c>
      <c r="J149" s="4"/>
      <c r="K149" s="5"/>
      <c r="L149" s="5"/>
      <c r="M149" s="4" t="s">
        <v>58</v>
      </c>
      <c r="N149" s="4"/>
      <c r="O149" s="4"/>
      <c r="P149" s="4"/>
      <c r="Q149" s="4"/>
      <c r="R149" s="4"/>
      <c r="S149" s="4"/>
      <c r="T149" s="4"/>
      <c r="U149" s="4"/>
      <c r="V149" s="4"/>
      <c r="W149" s="4" t="s">
        <v>1055</v>
      </c>
      <c r="X149" s="4"/>
      <c r="Y149" s="4"/>
      <c r="Z149" s="4" t="s">
        <v>554</v>
      </c>
      <c r="AA149" s="4" t="s">
        <v>53</v>
      </c>
      <c r="AB149" s="4" t="s">
        <v>53</v>
      </c>
      <c r="AC149" s="4" t="s">
        <v>53</v>
      </c>
      <c r="AD149" s="4" t="s">
        <v>53</v>
      </c>
      <c r="AE149" s="4" t="s">
        <v>53</v>
      </c>
      <c r="AF149" s="4" t="s">
        <v>53</v>
      </c>
      <c r="AG149" s="4" t="s">
        <v>53</v>
      </c>
      <c r="AH149" s="4" t="s">
        <v>53</v>
      </c>
      <c r="AI149" s="4" t="s">
        <v>53</v>
      </c>
    </row>
    <row r="150" customFormat="false" ht="23.85" hidden="false" customHeight="false" outlineLevel="0" collapsed="false">
      <c r="A150" s="2" t="n">
        <v>149</v>
      </c>
      <c r="B150" s="2" t="s">
        <v>35</v>
      </c>
      <c r="C150" s="2" t="s">
        <v>36</v>
      </c>
      <c r="D150" s="2" t="s">
        <v>37</v>
      </c>
      <c r="E150" s="2" t="s">
        <v>1056</v>
      </c>
      <c r="F150" s="2" t="s">
        <v>1057</v>
      </c>
      <c r="G150" s="2" t="s">
        <v>1046</v>
      </c>
      <c r="H150" s="2" t="s">
        <v>222</v>
      </c>
      <c r="I150" s="2" t="s">
        <v>1058</v>
      </c>
      <c r="J150" s="2" t="s">
        <v>1059</v>
      </c>
      <c r="K150" s="3" t="n">
        <v>3465</v>
      </c>
      <c r="L150" s="3" t="n">
        <v>3635</v>
      </c>
      <c r="M150" s="2" t="s">
        <v>53</v>
      </c>
      <c r="N150" s="2" t="s">
        <v>13</v>
      </c>
      <c r="O150" s="2"/>
      <c r="P150" s="2"/>
      <c r="Q150" s="2"/>
      <c r="R150" s="2"/>
      <c r="S150" s="2" t="s">
        <v>48</v>
      </c>
      <c r="T150" s="2"/>
      <c r="U150" s="2"/>
      <c r="V150" s="2"/>
      <c r="W150" s="2" t="s">
        <v>1060</v>
      </c>
      <c r="X150" s="2"/>
      <c r="Y150" s="2"/>
      <c r="Z150" s="2" t="s">
        <v>628</v>
      </c>
      <c r="AA150" s="2" t="s">
        <v>52</v>
      </c>
      <c r="AB150" s="2" t="s">
        <v>53</v>
      </c>
      <c r="AC150" s="2" t="s">
        <v>53</v>
      </c>
      <c r="AD150" s="2" t="s">
        <v>53</v>
      </c>
      <c r="AE150" s="2" t="s">
        <v>53</v>
      </c>
      <c r="AF150" s="2" t="s">
        <v>52</v>
      </c>
      <c r="AG150" s="2" t="s">
        <v>53</v>
      </c>
      <c r="AH150" s="2" t="s">
        <v>53</v>
      </c>
      <c r="AI150" s="2" t="s">
        <v>53</v>
      </c>
    </row>
    <row r="151" customFormat="false" ht="23.85" hidden="false" customHeight="false" outlineLevel="0" collapsed="false">
      <c r="A151" s="4" t="n">
        <v>150</v>
      </c>
      <c r="B151" s="4" t="s">
        <v>35</v>
      </c>
      <c r="C151" s="4" t="s">
        <v>36</v>
      </c>
      <c r="D151" s="4" t="s">
        <v>37</v>
      </c>
      <c r="E151" s="4" t="s">
        <v>1061</v>
      </c>
      <c r="F151" s="4" t="s">
        <v>1062</v>
      </c>
      <c r="G151" s="4" t="s">
        <v>1046</v>
      </c>
      <c r="H151" s="4" t="s">
        <v>479</v>
      </c>
      <c r="I151" s="4" t="s">
        <v>1063</v>
      </c>
      <c r="J151" s="4" t="s">
        <v>1064</v>
      </c>
      <c r="K151" s="5"/>
      <c r="L151" s="5"/>
      <c r="M151" s="4" t="s">
        <v>44</v>
      </c>
      <c r="N151" s="4" t="s">
        <v>13</v>
      </c>
      <c r="O151" s="4"/>
      <c r="P151" s="4" t="s">
        <v>1065</v>
      </c>
      <c r="Q151" s="4" t="s">
        <v>354</v>
      </c>
      <c r="R151" s="4"/>
      <c r="S151" s="4" t="s">
        <v>48</v>
      </c>
      <c r="T151" s="4"/>
      <c r="U151" s="4" t="s">
        <v>49</v>
      </c>
      <c r="V151" s="4"/>
      <c r="W151" s="4" t="s">
        <v>606</v>
      </c>
      <c r="X151" s="4"/>
      <c r="Y151" s="4"/>
      <c r="Z151" s="4" t="s">
        <v>87</v>
      </c>
      <c r="AA151" s="4" t="s">
        <v>52</v>
      </c>
      <c r="AB151" s="4" t="s">
        <v>53</v>
      </c>
      <c r="AC151" s="4" t="s">
        <v>52</v>
      </c>
      <c r="AD151" s="4" t="s">
        <v>52</v>
      </c>
      <c r="AE151" s="4" t="s">
        <v>53</v>
      </c>
      <c r="AF151" s="4" t="s">
        <v>52</v>
      </c>
      <c r="AG151" s="4" t="s">
        <v>53</v>
      </c>
      <c r="AH151" s="4" t="s">
        <v>52</v>
      </c>
      <c r="AI151" s="4" t="s">
        <v>53</v>
      </c>
    </row>
    <row r="152" customFormat="false" ht="23.85" hidden="false" customHeight="false" outlineLevel="0" collapsed="false">
      <c r="A152" s="2" t="n">
        <v>151</v>
      </c>
      <c r="B152" s="2" t="s">
        <v>35</v>
      </c>
      <c r="C152" s="2" t="s">
        <v>36</v>
      </c>
      <c r="D152" s="2" t="s">
        <v>37</v>
      </c>
      <c r="E152" s="2" t="s">
        <v>1066</v>
      </c>
      <c r="F152" s="2" t="s">
        <v>1067</v>
      </c>
      <c r="G152" s="2" t="s">
        <v>1046</v>
      </c>
      <c r="H152" s="2" t="s">
        <v>776</v>
      </c>
      <c r="I152" s="2" t="s">
        <v>1068</v>
      </c>
      <c r="J152" s="2" t="s">
        <v>1069</v>
      </c>
      <c r="K152" s="3" t="n">
        <v>4905</v>
      </c>
      <c r="L152" s="3" t="n">
        <v>6025</v>
      </c>
      <c r="M152" s="2" t="s">
        <v>44</v>
      </c>
      <c r="N152" s="2" t="s">
        <v>13</v>
      </c>
      <c r="O152" s="2"/>
      <c r="P152" s="2" t="s">
        <v>1070</v>
      </c>
      <c r="Q152" s="2" t="s">
        <v>714</v>
      </c>
      <c r="R152" s="2"/>
      <c r="S152" s="2" t="s">
        <v>1071</v>
      </c>
      <c r="T152" s="2" t="s">
        <v>592</v>
      </c>
      <c r="U152" s="2" t="s">
        <v>882</v>
      </c>
      <c r="V152" s="2"/>
      <c r="W152" s="2" t="s">
        <v>1072</v>
      </c>
      <c r="X152" s="2"/>
      <c r="Y152" s="2"/>
      <c r="Z152" s="2" t="s">
        <v>816</v>
      </c>
      <c r="AA152" s="2" t="s">
        <v>52</v>
      </c>
      <c r="AB152" s="2" t="s">
        <v>53</v>
      </c>
      <c r="AC152" s="2" t="s">
        <v>172</v>
      </c>
      <c r="AD152" s="2" t="s">
        <v>52</v>
      </c>
      <c r="AE152" s="2" t="s">
        <v>53</v>
      </c>
      <c r="AF152" s="2" t="s">
        <v>52</v>
      </c>
      <c r="AG152" s="2" t="s">
        <v>52</v>
      </c>
      <c r="AH152" s="2" t="s">
        <v>52</v>
      </c>
      <c r="AI152" s="2" t="s">
        <v>53</v>
      </c>
    </row>
    <row r="153" customFormat="false" ht="23.85" hidden="false" customHeight="false" outlineLevel="0" collapsed="false">
      <c r="A153" s="4" t="n">
        <v>152</v>
      </c>
      <c r="B153" s="4" t="s">
        <v>35</v>
      </c>
      <c r="C153" s="4" t="s">
        <v>36</v>
      </c>
      <c r="D153" s="4" t="s">
        <v>37</v>
      </c>
      <c r="E153" s="4" t="s">
        <v>1073</v>
      </c>
      <c r="F153" s="4" t="s">
        <v>1074</v>
      </c>
      <c r="G153" s="4" t="s">
        <v>1046</v>
      </c>
      <c r="H153" s="4" t="s">
        <v>479</v>
      </c>
      <c r="I153" s="4" t="s">
        <v>1075</v>
      </c>
      <c r="J153" s="4"/>
      <c r="K153" s="5"/>
      <c r="L153" s="5"/>
      <c r="M153" s="4" t="s">
        <v>44</v>
      </c>
      <c r="N153" s="4"/>
      <c r="O153" s="4"/>
      <c r="P153" s="4"/>
      <c r="Q153" s="4"/>
      <c r="R153" s="4"/>
      <c r="S153" s="4" t="s">
        <v>1076</v>
      </c>
      <c r="T153" s="4"/>
      <c r="U153" s="4"/>
      <c r="V153" s="4"/>
      <c r="W153" s="4" t="s">
        <v>571</v>
      </c>
      <c r="X153" s="4"/>
      <c r="Y153" s="4"/>
      <c r="Z153" s="4" t="s">
        <v>342</v>
      </c>
      <c r="AA153" s="4" t="s">
        <v>53</v>
      </c>
      <c r="AB153" s="4" t="s">
        <v>53</v>
      </c>
      <c r="AC153" s="4" t="s">
        <v>53</v>
      </c>
      <c r="AD153" s="4" t="s">
        <v>53</v>
      </c>
      <c r="AE153" s="4" t="s">
        <v>53</v>
      </c>
      <c r="AF153" s="4" t="s">
        <v>172</v>
      </c>
      <c r="AG153" s="4" t="s">
        <v>53</v>
      </c>
      <c r="AH153" s="4" t="s">
        <v>53</v>
      </c>
      <c r="AI153" s="4" t="s">
        <v>53</v>
      </c>
    </row>
    <row r="154" customFormat="false" ht="23.85" hidden="false" customHeight="false" outlineLevel="0" collapsed="false">
      <c r="A154" s="2" t="n">
        <v>153</v>
      </c>
      <c r="B154" s="2" t="s">
        <v>35</v>
      </c>
      <c r="C154" s="2" t="s">
        <v>36</v>
      </c>
      <c r="D154" s="2" t="s">
        <v>37</v>
      </c>
      <c r="E154" s="2" t="s">
        <v>1077</v>
      </c>
      <c r="F154" s="2" t="s">
        <v>1078</v>
      </c>
      <c r="G154" s="2" t="s">
        <v>1046</v>
      </c>
      <c r="H154" s="2" t="s">
        <v>41</v>
      </c>
      <c r="I154" s="2" t="s">
        <v>617</v>
      </c>
      <c r="J154" s="2"/>
      <c r="K154" s="3"/>
      <c r="L154" s="3"/>
      <c r="M154" s="2" t="s">
        <v>58</v>
      </c>
      <c r="N154" s="2"/>
      <c r="O154" s="2"/>
      <c r="P154" s="2"/>
      <c r="Q154" s="2"/>
      <c r="R154" s="2"/>
      <c r="S154" s="2"/>
      <c r="T154" s="2"/>
      <c r="U154" s="2"/>
      <c r="V154" s="2"/>
      <c r="W154" s="2" t="s">
        <v>139</v>
      </c>
      <c r="X154" s="2"/>
      <c r="Y154" s="2"/>
      <c r="Z154" s="2" t="s">
        <v>865</v>
      </c>
      <c r="AA154" s="2" t="s">
        <v>53</v>
      </c>
      <c r="AB154" s="2" t="s">
        <v>53</v>
      </c>
      <c r="AC154" s="2" t="s">
        <v>53</v>
      </c>
      <c r="AD154" s="2" t="s">
        <v>53</v>
      </c>
      <c r="AE154" s="2" t="s">
        <v>53</v>
      </c>
      <c r="AF154" s="2" t="s">
        <v>53</v>
      </c>
      <c r="AG154" s="2" t="s">
        <v>53</v>
      </c>
      <c r="AH154" s="2" t="s">
        <v>53</v>
      </c>
      <c r="AI154" s="2" t="s">
        <v>53</v>
      </c>
    </row>
    <row r="155" customFormat="false" ht="23.85" hidden="false" customHeight="false" outlineLevel="0" collapsed="false">
      <c r="A155" s="4" t="n">
        <v>154</v>
      </c>
      <c r="B155" s="4" t="s">
        <v>35</v>
      </c>
      <c r="C155" s="4" t="s">
        <v>36</v>
      </c>
      <c r="D155" s="4" t="s">
        <v>37</v>
      </c>
      <c r="E155" s="4" t="s">
        <v>1079</v>
      </c>
      <c r="F155" s="4" t="s">
        <v>1080</v>
      </c>
      <c r="G155" s="4" t="s">
        <v>1051</v>
      </c>
      <c r="H155" s="4" t="s">
        <v>222</v>
      </c>
      <c r="I155" s="4" t="s">
        <v>1081</v>
      </c>
      <c r="J155" s="4" t="s">
        <v>1082</v>
      </c>
      <c r="K155" s="5" t="n">
        <v>3795</v>
      </c>
      <c r="L155" s="5" t="n">
        <v>3795</v>
      </c>
      <c r="M155" s="4" t="s">
        <v>53</v>
      </c>
      <c r="N155" s="4" t="s">
        <v>13</v>
      </c>
      <c r="O155" s="4"/>
      <c r="P155" s="4"/>
      <c r="Q155" s="4" t="s">
        <v>1083</v>
      </c>
      <c r="R155" s="4"/>
      <c r="S155" s="4" t="s">
        <v>1084</v>
      </c>
      <c r="T155" s="4"/>
      <c r="U155" s="4" t="s">
        <v>1085</v>
      </c>
      <c r="V155" s="4"/>
      <c r="W155" s="4" t="s">
        <v>659</v>
      </c>
      <c r="X155" s="4"/>
      <c r="Y155" s="4"/>
      <c r="Z155" s="4" t="s">
        <v>613</v>
      </c>
      <c r="AA155" s="4" t="s">
        <v>52</v>
      </c>
      <c r="AB155" s="4" t="s">
        <v>53</v>
      </c>
      <c r="AC155" s="4" t="s">
        <v>53</v>
      </c>
      <c r="AD155" s="4" t="s">
        <v>52</v>
      </c>
      <c r="AE155" s="4" t="s">
        <v>53</v>
      </c>
      <c r="AF155" s="4" t="s">
        <v>52</v>
      </c>
      <c r="AG155" s="4" t="s">
        <v>53</v>
      </c>
      <c r="AH155" s="4" t="s">
        <v>52</v>
      </c>
      <c r="AI155" s="4" t="s">
        <v>53</v>
      </c>
    </row>
    <row r="156" customFormat="false" ht="23.85" hidden="false" customHeight="false" outlineLevel="0" collapsed="false">
      <c r="A156" s="2" t="n">
        <v>155</v>
      </c>
      <c r="B156" s="2" t="s">
        <v>35</v>
      </c>
      <c r="C156" s="2" t="s">
        <v>36</v>
      </c>
      <c r="D156" s="2" t="s">
        <v>37</v>
      </c>
      <c r="E156" s="2" t="s">
        <v>1086</v>
      </c>
      <c r="F156" s="2" t="s">
        <v>1087</v>
      </c>
      <c r="G156" s="2" t="s">
        <v>1088</v>
      </c>
      <c r="H156" s="2" t="s">
        <v>186</v>
      </c>
      <c r="I156" s="2" t="s">
        <v>1089</v>
      </c>
      <c r="J156" s="2"/>
      <c r="K156" s="3"/>
      <c r="L156" s="3"/>
      <c r="M156" s="2" t="s">
        <v>53</v>
      </c>
      <c r="N156" s="2" t="s">
        <v>13</v>
      </c>
      <c r="O156" s="2"/>
      <c r="P156" s="2"/>
      <c r="Q156" s="2"/>
      <c r="R156" s="2"/>
      <c r="S156" s="2"/>
      <c r="T156" s="2" t="s">
        <v>1090</v>
      </c>
      <c r="U156" s="2" t="s">
        <v>1091</v>
      </c>
      <c r="V156" s="2"/>
      <c r="W156" s="2" t="s">
        <v>1092</v>
      </c>
      <c r="X156" s="2"/>
      <c r="Y156" s="2"/>
      <c r="Z156" s="2" t="s">
        <v>613</v>
      </c>
      <c r="AA156" s="2" t="s">
        <v>52</v>
      </c>
      <c r="AB156" s="2" t="s">
        <v>53</v>
      </c>
      <c r="AC156" s="2" t="s">
        <v>53</v>
      </c>
      <c r="AD156" s="2" t="s">
        <v>53</v>
      </c>
      <c r="AE156" s="2" t="s">
        <v>53</v>
      </c>
      <c r="AF156" s="2" t="s">
        <v>53</v>
      </c>
      <c r="AG156" s="2" t="s">
        <v>52</v>
      </c>
      <c r="AH156" s="2" t="s">
        <v>52</v>
      </c>
      <c r="AI156" s="2" t="s">
        <v>53</v>
      </c>
    </row>
    <row r="157" customFormat="false" ht="23.85" hidden="false" customHeight="false" outlineLevel="0" collapsed="false">
      <c r="A157" s="4" t="n">
        <v>156</v>
      </c>
      <c r="B157" s="4" t="s">
        <v>35</v>
      </c>
      <c r="C157" s="4" t="s">
        <v>36</v>
      </c>
      <c r="D157" s="4" t="s">
        <v>37</v>
      </c>
      <c r="E157" s="4" t="s">
        <v>1093</v>
      </c>
      <c r="F157" s="4" t="s">
        <v>1094</v>
      </c>
      <c r="G157" s="4" t="s">
        <v>1088</v>
      </c>
      <c r="H157" s="4" t="s">
        <v>41</v>
      </c>
      <c r="I157" s="4" t="s">
        <v>1095</v>
      </c>
      <c r="J157" s="4"/>
      <c r="K157" s="5"/>
      <c r="L157" s="5"/>
      <c r="M157" s="4" t="s">
        <v>58</v>
      </c>
      <c r="N157" s="4"/>
      <c r="O157" s="4"/>
      <c r="P157" s="4"/>
      <c r="Q157" s="4"/>
      <c r="R157" s="4"/>
      <c r="S157" s="4"/>
      <c r="T157" s="4"/>
      <c r="U157" s="4"/>
      <c r="V157" s="4"/>
      <c r="W157" s="4"/>
      <c r="X157" s="4" t="s">
        <v>583</v>
      </c>
      <c r="Y157" s="4"/>
      <c r="Z157" s="4" t="s">
        <v>171</v>
      </c>
      <c r="AA157" s="4" t="s">
        <v>53</v>
      </c>
      <c r="AB157" s="4" t="s">
        <v>53</v>
      </c>
      <c r="AC157" s="4" t="s">
        <v>53</v>
      </c>
      <c r="AD157" s="4" t="s">
        <v>53</v>
      </c>
      <c r="AE157" s="4" t="s">
        <v>53</v>
      </c>
      <c r="AF157" s="4" t="s">
        <v>53</v>
      </c>
      <c r="AG157" s="4" t="s">
        <v>53</v>
      </c>
      <c r="AH157" s="4" t="s">
        <v>53</v>
      </c>
      <c r="AI157" s="4" t="s">
        <v>53</v>
      </c>
    </row>
    <row r="158" customFormat="false" ht="23.85" hidden="false" customHeight="false" outlineLevel="0" collapsed="false">
      <c r="A158" s="2" t="n">
        <v>157</v>
      </c>
      <c r="B158" s="2" t="s">
        <v>35</v>
      </c>
      <c r="C158" s="2" t="s">
        <v>36</v>
      </c>
      <c r="D158" s="2" t="s">
        <v>37</v>
      </c>
      <c r="E158" s="2" t="s">
        <v>1096</v>
      </c>
      <c r="F158" s="2" t="s">
        <v>1097</v>
      </c>
      <c r="G158" s="2" t="s">
        <v>1088</v>
      </c>
      <c r="H158" s="2" t="s">
        <v>222</v>
      </c>
      <c r="I158" s="2" t="s">
        <v>1098</v>
      </c>
      <c r="J158" s="2" t="s">
        <v>1099</v>
      </c>
      <c r="K158" s="3" t="n">
        <v>3150</v>
      </c>
      <c r="L158" s="3" t="n">
        <v>3150</v>
      </c>
      <c r="M158" s="2" t="s">
        <v>53</v>
      </c>
      <c r="N158" s="2" t="s">
        <v>13</v>
      </c>
      <c r="O158" s="2"/>
      <c r="P158" s="2" t="s">
        <v>490</v>
      </c>
      <c r="Q158" s="2"/>
      <c r="R158" s="2"/>
      <c r="S158" s="2" t="s">
        <v>287</v>
      </c>
      <c r="T158" s="2"/>
      <c r="U158" s="2" t="s">
        <v>1100</v>
      </c>
      <c r="V158" s="2"/>
      <c r="W158" s="2" t="s">
        <v>139</v>
      </c>
      <c r="X158" s="2"/>
      <c r="Y158" s="2"/>
      <c r="Z158" s="2" t="s">
        <v>547</v>
      </c>
      <c r="AA158" s="2" t="s">
        <v>52</v>
      </c>
      <c r="AB158" s="2" t="s">
        <v>53</v>
      </c>
      <c r="AC158" s="2" t="s">
        <v>52</v>
      </c>
      <c r="AD158" s="2" t="s">
        <v>53</v>
      </c>
      <c r="AE158" s="2" t="s">
        <v>53</v>
      </c>
      <c r="AF158" s="2" t="s">
        <v>52</v>
      </c>
      <c r="AG158" s="2" t="s">
        <v>53</v>
      </c>
      <c r="AH158" s="2" t="s">
        <v>52</v>
      </c>
      <c r="AI158" s="2" t="s">
        <v>53</v>
      </c>
    </row>
    <row r="159" customFormat="false" ht="23.85" hidden="false" customHeight="false" outlineLevel="0" collapsed="false">
      <c r="A159" s="4" t="n">
        <v>158</v>
      </c>
      <c r="B159" s="4" t="s">
        <v>35</v>
      </c>
      <c r="C159" s="4" t="s">
        <v>36</v>
      </c>
      <c r="D159" s="4" t="s">
        <v>37</v>
      </c>
      <c r="E159" s="4" t="s">
        <v>1101</v>
      </c>
      <c r="F159" s="4" t="s">
        <v>1050</v>
      </c>
      <c r="G159" s="4" t="s">
        <v>1088</v>
      </c>
      <c r="H159" s="4" t="s">
        <v>186</v>
      </c>
      <c r="I159" s="4" t="s">
        <v>1102</v>
      </c>
      <c r="J159" s="4"/>
      <c r="K159" s="5"/>
      <c r="L159" s="5"/>
      <c r="M159" s="4" t="s">
        <v>53</v>
      </c>
      <c r="N159" s="4" t="s">
        <v>13</v>
      </c>
      <c r="O159" s="4"/>
      <c r="P159" s="4" t="s">
        <v>1103</v>
      </c>
      <c r="Q159" s="4"/>
      <c r="R159" s="4"/>
      <c r="S159" s="4"/>
      <c r="T159" s="4"/>
      <c r="U159" s="4" t="s">
        <v>1100</v>
      </c>
      <c r="V159" s="4"/>
      <c r="W159" s="4" t="s">
        <v>1104</v>
      </c>
      <c r="X159" s="4"/>
      <c r="Y159" s="4"/>
      <c r="Z159" s="4" t="s">
        <v>628</v>
      </c>
      <c r="AA159" s="4" t="s">
        <v>52</v>
      </c>
      <c r="AB159" s="4" t="s">
        <v>53</v>
      </c>
      <c r="AC159" s="4" t="s">
        <v>52</v>
      </c>
      <c r="AD159" s="4" t="s">
        <v>53</v>
      </c>
      <c r="AE159" s="4" t="s">
        <v>53</v>
      </c>
      <c r="AF159" s="4" t="s">
        <v>53</v>
      </c>
      <c r="AG159" s="4" t="s">
        <v>53</v>
      </c>
      <c r="AH159" s="4" t="s">
        <v>52</v>
      </c>
      <c r="AI159" s="4" t="s">
        <v>53</v>
      </c>
    </row>
    <row r="160" customFormat="false" ht="35.05" hidden="false" customHeight="false" outlineLevel="0" collapsed="false">
      <c r="A160" s="2" t="n">
        <v>159</v>
      </c>
      <c r="B160" s="2" t="s">
        <v>35</v>
      </c>
      <c r="C160" s="2" t="s">
        <v>36</v>
      </c>
      <c r="D160" s="2" t="s">
        <v>37</v>
      </c>
      <c r="E160" s="2" t="s">
        <v>1105</v>
      </c>
      <c r="F160" s="2" t="s">
        <v>1106</v>
      </c>
      <c r="G160" s="2" t="s">
        <v>1107</v>
      </c>
      <c r="H160" s="2" t="s">
        <v>479</v>
      </c>
      <c r="I160" s="2" t="s">
        <v>1108</v>
      </c>
      <c r="J160" s="2"/>
      <c r="K160" s="3"/>
      <c r="L160" s="3"/>
      <c r="M160" s="2" t="s">
        <v>44</v>
      </c>
      <c r="N160" s="2"/>
      <c r="O160" s="2"/>
      <c r="P160" s="2" t="s">
        <v>1109</v>
      </c>
      <c r="Q160" s="2" t="s">
        <v>1110</v>
      </c>
      <c r="R160" s="2"/>
      <c r="S160" s="2" t="s">
        <v>1111</v>
      </c>
      <c r="T160" s="2" t="s">
        <v>592</v>
      </c>
      <c r="U160" s="2" t="s">
        <v>1112</v>
      </c>
      <c r="V160" s="2"/>
      <c r="W160" s="2" t="s">
        <v>493</v>
      </c>
      <c r="X160" s="2"/>
      <c r="Y160" s="2"/>
      <c r="Z160" s="2" t="s">
        <v>1113</v>
      </c>
      <c r="AA160" s="2" t="s">
        <v>53</v>
      </c>
      <c r="AB160" s="2" t="s">
        <v>53</v>
      </c>
      <c r="AC160" s="2" t="s">
        <v>52</v>
      </c>
      <c r="AD160" s="2" t="s">
        <v>52</v>
      </c>
      <c r="AE160" s="2" t="s">
        <v>53</v>
      </c>
      <c r="AF160" s="2" t="s">
        <v>52</v>
      </c>
      <c r="AG160" s="2" t="s">
        <v>52</v>
      </c>
      <c r="AH160" s="2" t="s">
        <v>52</v>
      </c>
      <c r="AI160" s="2" t="s">
        <v>53</v>
      </c>
    </row>
    <row r="161" customFormat="false" ht="23.85" hidden="false" customHeight="false" outlineLevel="0" collapsed="false">
      <c r="A161" s="4" t="n">
        <v>160</v>
      </c>
      <c r="B161" s="4" t="s">
        <v>35</v>
      </c>
      <c r="C161" s="4" t="s">
        <v>36</v>
      </c>
      <c r="D161" s="4" t="s">
        <v>37</v>
      </c>
      <c r="E161" s="4" t="s">
        <v>1114</v>
      </c>
      <c r="F161" s="4" t="s">
        <v>988</v>
      </c>
      <c r="G161" s="4" t="s">
        <v>1107</v>
      </c>
      <c r="H161" s="4" t="s">
        <v>479</v>
      </c>
      <c r="I161" s="4" t="s">
        <v>1115</v>
      </c>
      <c r="J161" s="4" t="s">
        <v>1116</v>
      </c>
      <c r="K161" s="5" t="n">
        <v>2850</v>
      </c>
      <c r="L161" s="5" t="n">
        <v>2850</v>
      </c>
      <c r="M161" s="4" t="s">
        <v>44</v>
      </c>
      <c r="N161" s="4" t="s">
        <v>13</v>
      </c>
      <c r="O161" s="4"/>
      <c r="P161" s="4" t="s">
        <v>1117</v>
      </c>
      <c r="Q161" s="4" t="s">
        <v>1118</v>
      </c>
      <c r="R161" s="4"/>
      <c r="S161" s="4" t="s">
        <v>1119</v>
      </c>
      <c r="T161" s="4" t="s">
        <v>592</v>
      </c>
      <c r="U161" s="4" t="s">
        <v>1120</v>
      </c>
      <c r="V161" s="4"/>
      <c r="W161" s="4" t="s">
        <v>1121</v>
      </c>
      <c r="X161" s="4"/>
      <c r="Y161" s="4"/>
      <c r="Z161" s="4" t="s">
        <v>141</v>
      </c>
      <c r="AA161" s="4" t="s">
        <v>52</v>
      </c>
      <c r="AB161" s="4" t="s">
        <v>53</v>
      </c>
      <c r="AC161" s="4" t="s">
        <v>172</v>
      </c>
      <c r="AD161" s="4" t="s">
        <v>52</v>
      </c>
      <c r="AE161" s="4" t="s">
        <v>53</v>
      </c>
      <c r="AF161" s="4" t="s">
        <v>52</v>
      </c>
      <c r="AG161" s="4" t="s">
        <v>52</v>
      </c>
      <c r="AH161" s="4" t="s">
        <v>52</v>
      </c>
      <c r="AI161" s="4" t="s">
        <v>53</v>
      </c>
    </row>
    <row r="162" customFormat="false" ht="23.85" hidden="false" customHeight="false" outlineLevel="0" collapsed="false">
      <c r="A162" s="2" t="n">
        <v>161</v>
      </c>
      <c r="B162" s="2" t="s">
        <v>35</v>
      </c>
      <c r="C162" s="2" t="s">
        <v>36</v>
      </c>
      <c r="D162" s="2" t="s">
        <v>37</v>
      </c>
      <c r="E162" s="2" t="s">
        <v>1122</v>
      </c>
      <c r="F162" s="2" t="s">
        <v>1123</v>
      </c>
      <c r="G162" s="2" t="s">
        <v>1107</v>
      </c>
      <c r="H162" s="2" t="s">
        <v>1124</v>
      </c>
      <c r="I162" s="2" t="s">
        <v>1125</v>
      </c>
      <c r="J162" s="2"/>
      <c r="K162" s="3"/>
      <c r="L162" s="3"/>
      <c r="M162" s="2" t="s">
        <v>53</v>
      </c>
      <c r="N162" s="2" t="s">
        <v>13</v>
      </c>
      <c r="O162" s="2"/>
      <c r="P162" s="2"/>
      <c r="Q162" s="2" t="s">
        <v>1118</v>
      </c>
      <c r="R162" s="2"/>
      <c r="S162" s="2" t="s">
        <v>159</v>
      </c>
      <c r="T162" s="2"/>
      <c r="U162" s="2" t="s">
        <v>1126</v>
      </c>
      <c r="V162" s="2"/>
      <c r="W162" s="2" t="s">
        <v>1127</v>
      </c>
      <c r="X162" s="2"/>
      <c r="Y162" s="2"/>
      <c r="Z162" s="2" t="s">
        <v>666</v>
      </c>
      <c r="AA162" s="2" t="s">
        <v>52</v>
      </c>
      <c r="AB162" s="2" t="s">
        <v>53</v>
      </c>
      <c r="AC162" s="2" t="s">
        <v>53</v>
      </c>
      <c r="AD162" s="2" t="s">
        <v>52</v>
      </c>
      <c r="AE162" s="2" t="s">
        <v>53</v>
      </c>
      <c r="AF162" s="2" t="s">
        <v>52</v>
      </c>
      <c r="AG162" s="2" t="s">
        <v>53</v>
      </c>
      <c r="AH162" s="2" t="s">
        <v>52</v>
      </c>
      <c r="AI162" s="2" t="s">
        <v>53</v>
      </c>
    </row>
    <row r="163" customFormat="false" ht="23.85" hidden="false" customHeight="false" outlineLevel="0" collapsed="false">
      <c r="A163" s="4" t="n">
        <v>162</v>
      </c>
      <c r="B163" s="4" t="s">
        <v>35</v>
      </c>
      <c r="C163" s="4" t="s">
        <v>36</v>
      </c>
      <c r="D163" s="4" t="s">
        <v>37</v>
      </c>
      <c r="E163" s="4" t="s">
        <v>1128</v>
      </c>
      <c r="F163" s="4" t="s">
        <v>1129</v>
      </c>
      <c r="G163" s="4" t="s">
        <v>1107</v>
      </c>
      <c r="H163" s="4" t="s">
        <v>1130</v>
      </c>
      <c r="I163" s="4" t="s">
        <v>1131</v>
      </c>
      <c r="J163" s="4"/>
      <c r="K163" s="5"/>
      <c r="L163" s="5"/>
      <c r="M163" s="4" t="s">
        <v>53</v>
      </c>
      <c r="N163" s="4"/>
      <c r="O163" s="4"/>
      <c r="P163" s="4" t="s">
        <v>490</v>
      </c>
      <c r="Q163" s="4"/>
      <c r="R163" s="4"/>
      <c r="S163" s="4"/>
      <c r="T163" s="4" t="s">
        <v>592</v>
      </c>
      <c r="U163" s="4" t="s">
        <v>1132</v>
      </c>
      <c r="V163" s="4"/>
      <c r="W163" s="4" t="s">
        <v>571</v>
      </c>
      <c r="X163" s="4"/>
      <c r="Y163" s="4"/>
      <c r="Z163" s="4" t="s">
        <v>342</v>
      </c>
      <c r="AA163" s="4" t="s">
        <v>53</v>
      </c>
      <c r="AB163" s="4" t="s">
        <v>53</v>
      </c>
      <c r="AC163" s="4" t="s">
        <v>52</v>
      </c>
      <c r="AD163" s="4" t="s">
        <v>53</v>
      </c>
      <c r="AE163" s="4" t="s">
        <v>53</v>
      </c>
      <c r="AF163" s="4" t="s">
        <v>53</v>
      </c>
      <c r="AG163" s="4" t="s">
        <v>52</v>
      </c>
      <c r="AH163" s="4" t="s">
        <v>52</v>
      </c>
      <c r="AI163" s="4" t="s">
        <v>53</v>
      </c>
    </row>
    <row r="164" customFormat="false" ht="23.85" hidden="false" customHeight="false" outlineLevel="0" collapsed="false">
      <c r="A164" s="2" t="n">
        <v>163</v>
      </c>
      <c r="B164" s="2" t="s">
        <v>35</v>
      </c>
      <c r="C164" s="2" t="s">
        <v>36</v>
      </c>
      <c r="D164" s="2" t="s">
        <v>37</v>
      </c>
      <c r="E164" s="2" t="s">
        <v>1133</v>
      </c>
      <c r="F164" s="2" t="s">
        <v>1134</v>
      </c>
      <c r="G164" s="2" t="s">
        <v>1107</v>
      </c>
      <c r="H164" s="2" t="s">
        <v>186</v>
      </c>
      <c r="I164" s="2" t="s">
        <v>1135</v>
      </c>
      <c r="J164" s="2"/>
      <c r="K164" s="3"/>
      <c r="L164" s="3"/>
      <c r="M164" s="2" t="s">
        <v>53</v>
      </c>
      <c r="N164" s="2"/>
      <c r="O164" s="2"/>
      <c r="P164" s="2"/>
      <c r="Q164" s="2"/>
      <c r="R164" s="2"/>
      <c r="S164" s="2"/>
      <c r="T164" s="2" t="s">
        <v>592</v>
      </c>
      <c r="U164" s="2" t="s">
        <v>625</v>
      </c>
      <c r="V164" s="2"/>
      <c r="W164" s="2" t="s">
        <v>1136</v>
      </c>
      <c r="X164" s="2"/>
      <c r="Y164" s="2"/>
      <c r="Z164" s="2" t="s">
        <v>109</v>
      </c>
      <c r="AA164" s="2" t="s">
        <v>53</v>
      </c>
      <c r="AB164" s="2" t="s">
        <v>53</v>
      </c>
      <c r="AC164" s="2" t="s">
        <v>53</v>
      </c>
      <c r="AD164" s="2" t="s">
        <v>53</v>
      </c>
      <c r="AE164" s="2" t="s">
        <v>53</v>
      </c>
      <c r="AF164" s="2" t="s">
        <v>53</v>
      </c>
      <c r="AG164" s="2" t="s">
        <v>52</v>
      </c>
      <c r="AH164" s="2" t="s">
        <v>52</v>
      </c>
      <c r="AI164" s="2" t="s">
        <v>53</v>
      </c>
    </row>
    <row r="165" customFormat="false" ht="23.85" hidden="false" customHeight="false" outlineLevel="0" collapsed="false">
      <c r="A165" s="4" t="n">
        <v>164</v>
      </c>
      <c r="B165" s="4" t="s">
        <v>35</v>
      </c>
      <c r="C165" s="4" t="s">
        <v>36</v>
      </c>
      <c r="D165" s="4" t="s">
        <v>37</v>
      </c>
      <c r="E165" s="4" t="s">
        <v>1137</v>
      </c>
      <c r="F165" s="4" t="s">
        <v>1138</v>
      </c>
      <c r="G165" s="4" t="s">
        <v>1139</v>
      </c>
      <c r="H165" s="4" t="s">
        <v>186</v>
      </c>
      <c r="I165" s="4" t="s">
        <v>1140</v>
      </c>
      <c r="J165" s="4"/>
      <c r="K165" s="5"/>
      <c r="L165" s="5"/>
      <c r="M165" s="4" t="s">
        <v>53</v>
      </c>
      <c r="N165" s="4"/>
      <c r="O165" s="4"/>
      <c r="P165" s="4"/>
      <c r="Q165" s="4"/>
      <c r="R165" s="4"/>
      <c r="S165" s="4"/>
      <c r="T165" s="4"/>
      <c r="U165" s="4" t="s">
        <v>1141</v>
      </c>
      <c r="V165" s="4"/>
      <c r="W165" s="4" t="s">
        <v>1142</v>
      </c>
      <c r="X165" s="4"/>
      <c r="Y165" s="4"/>
      <c r="Z165" s="4" t="s">
        <v>128</v>
      </c>
      <c r="AA165" s="4" t="s">
        <v>53</v>
      </c>
      <c r="AB165" s="4" t="s">
        <v>53</v>
      </c>
      <c r="AC165" s="4" t="s">
        <v>53</v>
      </c>
      <c r="AD165" s="4" t="s">
        <v>53</v>
      </c>
      <c r="AE165" s="4" t="s">
        <v>53</v>
      </c>
      <c r="AF165" s="4" t="s">
        <v>53</v>
      </c>
      <c r="AG165" s="4" t="s">
        <v>53</v>
      </c>
      <c r="AH165" s="4" t="s">
        <v>52</v>
      </c>
      <c r="AI165" s="4" t="s">
        <v>53</v>
      </c>
    </row>
    <row r="166" customFormat="false" ht="23.85" hidden="false" customHeight="false" outlineLevel="0" collapsed="false">
      <c r="A166" s="2" t="n">
        <v>165</v>
      </c>
      <c r="B166" s="2" t="s">
        <v>35</v>
      </c>
      <c r="C166" s="2" t="s">
        <v>36</v>
      </c>
      <c r="D166" s="2" t="s">
        <v>37</v>
      </c>
      <c r="E166" s="2" t="s">
        <v>1143</v>
      </c>
      <c r="F166" s="2" t="s">
        <v>1138</v>
      </c>
      <c r="G166" s="2" t="s">
        <v>1144</v>
      </c>
      <c r="H166" s="2" t="s">
        <v>186</v>
      </c>
      <c r="I166" s="2" t="s">
        <v>1145</v>
      </c>
      <c r="J166" s="2"/>
      <c r="K166" s="3"/>
      <c r="L166" s="3"/>
      <c r="M166" s="2" t="s">
        <v>53</v>
      </c>
      <c r="N166" s="2"/>
      <c r="O166" s="2"/>
      <c r="P166" s="2"/>
      <c r="Q166" s="2"/>
      <c r="R166" s="2"/>
      <c r="S166" s="2"/>
      <c r="T166" s="2"/>
      <c r="U166" s="2" t="s">
        <v>1146</v>
      </c>
      <c r="V166" s="2"/>
      <c r="W166" s="2" t="s">
        <v>1147</v>
      </c>
      <c r="X166" s="2"/>
      <c r="Y166" s="2"/>
      <c r="Z166" s="2" t="s">
        <v>506</v>
      </c>
      <c r="AA166" s="2" t="s">
        <v>53</v>
      </c>
      <c r="AB166" s="2" t="s">
        <v>53</v>
      </c>
      <c r="AC166" s="2" t="s">
        <v>53</v>
      </c>
      <c r="AD166" s="2" t="s">
        <v>53</v>
      </c>
      <c r="AE166" s="2" t="s">
        <v>53</v>
      </c>
      <c r="AF166" s="2" t="s">
        <v>53</v>
      </c>
      <c r="AG166" s="2" t="s">
        <v>53</v>
      </c>
      <c r="AH166" s="2" t="s">
        <v>52</v>
      </c>
      <c r="AI166" s="2" t="s">
        <v>53</v>
      </c>
    </row>
    <row r="167" customFormat="false" ht="23.85" hidden="false" customHeight="false" outlineLevel="0" collapsed="false">
      <c r="A167" s="4" t="n">
        <v>166</v>
      </c>
      <c r="B167" s="4" t="s">
        <v>35</v>
      </c>
      <c r="C167" s="4" t="s">
        <v>36</v>
      </c>
      <c r="D167" s="4" t="s">
        <v>37</v>
      </c>
      <c r="E167" s="4" t="s">
        <v>1148</v>
      </c>
      <c r="F167" s="4" t="s">
        <v>1138</v>
      </c>
      <c r="G167" s="4" t="s">
        <v>1149</v>
      </c>
      <c r="H167" s="4" t="s">
        <v>186</v>
      </c>
      <c r="I167" s="4" t="s">
        <v>264</v>
      </c>
      <c r="J167" s="4"/>
      <c r="K167" s="5"/>
      <c r="L167" s="5"/>
      <c r="M167" s="4" t="s">
        <v>53</v>
      </c>
      <c r="N167" s="4"/>
      <c r="O167" s="4"/>
      <c r="P167" s="4" t="s">
        <v>1150</v>
      </c>
      <c r="Q167" s="4"/>
      <c r="R167" s="4"/>
      <c r="S167" s="4"/>
      <c r="T167" s="4"/>
      <c r="U167" s="4"/>
      <c r="V167" s="4"/>
      <c r="W167" s="4" t="s">
        <v>139</v>
      </c>
      <c r="X167" s="4"/>
      <c r="Y167" s="4"/>
      <c r="Z167" s="4" t="s">
        <v>1151</v>
      </c>
      <c r="AA167" s="4" t="s">
        <v>53</v>
      </c>
      <c r="AB167" s="4" t="s">
        <v>53</v>
      </c>
      <c r="AC167" s="4" t="s">
        <v>172</v>
      </c>
      <c r="AD167" s="4" t="s">
        <v>53</v>
      </c>
      <c r="AE167" s="4" t="s">
        <v>53</v>
      </c>
      <c r="AF167" s="4" t="s">
        <v>53</v>
      </c>
      <c r="AG167" s="4" t="s">
        <v>53</v>
      </c>
      <c r="AH167" s="4" t="s">
        <v>53</v>
      </c>
      <c r="AI167" s="4" t="s">
        <v>53</v>
      </c>
    </row>
    <row r="168" customFormat="false" ht="23.85" hidden="false" customHeight="false" outlineLevel="0" collapsed="false">
      <c r="A168" s="2" t="n">
        <v>167</v>
      </c>
      <c r="B168" s="2" t="s">
        <v>35</v>
      </c>
      <c r="C168" s="2" t="s">
        <v>36</v>
      </c>
      <c r="D168" s="2" t="s">
        <v>37</v>
      </c>
      <c r="E168" s="2" t="s">
        <v>1152</v>
      </c>
      <c r="F168" s="2" t="s">
        <v>1138</v>
      </c>
      <c r="G168" s="2" t="s">
        <v>1153</v>
      </c>
      <c r="H168" s="2" t="s">
        <v>186</v>
      </c>
      <c r="I168" s="2" t="s">
        <v>1154</v>
      </c>
      <c r="J168" s="2"/>
      <c r="K168" s="3"/>
      <c r="L168" s="3"/>
      <c r="M168" s="2" t="s">
        <v>53</v>
      </c>
      <c r="N168" s="2"/>
      <c r="O168" s="2"/>
      <c r="P168" s="2"/>
      <c r="Q168" s="2"/>
      <c r="R168" s="2"/>
      <c r="S168" s="2"/>
      <c r="T168" s="2"/>
      <c r="U168" s="2" t="s">
        <v>1155</v>
      </c>
      <c r="V168" s="2"/>
      <c r="W168" s="2" t="s">
        <v>101</v>
      </c>
      <c r="X168" s="2"/>
      <c r="Y168" s="2"/>
      <c r="Z168" s="2" t="s">
        <v>87</v>
      </c>
      <c r="AA168" s="2" t="s">
        <v>53</v>
      </c>
      <c r="AB168" s="2" t="s">
        <v>53</v>
      </c>
      <c r="AC168" s="2" t="s">
        <v>53</v>
      </c>
      <c r="AD168" s="2" t="s">
        <v>53</v>
      </c>
      <c r="AE168" s="2" t="s">
        <v>53</v>
      </c>
      <c r="AF168" s="2" t="s">
        <v>53</v>
      </c>
      <c r="AG168" s="2" t="s">
        <v>53</v>
      </c>
      <c r="AH168" s="2" t="s">
        <v>52</v>
      </c>
      <c r="AI168" s="2" t="s">
        <v>53</v>
      </c>
    </row>
    <row r="169" customFormat="false" ht="35.05" hidden="false" customHeight="false" outlineLevel="0" collapsed="false">
      <c r="A169" s="4" t="n">
        <v>168</v>
      </c>
      <c r="B169" s="4" t="s">
        <v>35</v>
      </c>
      <c r="C169" s="4" t="s">
        <v>36</v>
      </c>
      <c r="D169" s="4" t="s">
        <v>37</v>
      </c>
      <c r="E169" s="4" t="s">
        <v>1156</v>
      </c>
      <c r="F169" s="4" t="s">
        <v>1157</v>
      </c>
      <c r="G169" s="4" t="s">
        <v>1158</v>
      </c>
      <c r="H169" s="4" t="s">
        <v>1159</v>
      </c>
      <c r="I169" s="4" t="s">
        <v>1160</v>
      </c>
      <c r="J169" s="4"/>
      <c r="K169" s="5"/>
      <c r="L169" s="5"/>
      <c r="M169" s="4" t="s">
        <v>53</v>
      </c>
      <c r="N169" s="4" t="s">
        <v>13</v>
      </c>
      <c r="O169" s="4"/>
      <c r="P169" s="4"/>
      <c r="Q169" s="4"/>
      <c r="R169" s="4"/>
      <c r="S169" s="4" t="s">
        <v>1161</v>
      </c>
      <c r="T169" s="4"/>
      <c r="U169" s="4"/>
      <c r="V169" s="4"/>
      <c r="W169" s="4" t="s">
        <v>1162</v>
      </c>
      <c r="X169" s="4"/>
      <c r="Y169" s="4"/>
      <c r="Z169" s="4" t="s">
        <v>1163</v>
      </c>
      <c r="AA169" s="4" t="s">
        <v>52</v>
      </c>
      <c r="AB169" s="4" t="s">
        <v>53</v>
      </c>
      <c r="AC169" s="4" t="s">
        <v>53</v>
      </c>
      <c r="AD169" s="4" t="s">
        <v>53</v>
      </c>
      <c r="AE169" s="4" t="s">
        <v>53</v>
      </c>
      <c r="AF169" s="4" t="s">
        <v>52</v>
      </c>
      <c r="AG169" s="4" t="s">
        <v>53</v>
      </c>
      <c r="AH169" s="4" t="s">
        <v>53</v>
      </c>
      <c r="AI169" s="4" t="s">
        <v>53</v>
      </c>
    </row>
    <row r="170" customFormat="false" ht="23.85" hidden="false" customHeight="false" outlineLevel="0" collapsed="false">
      <c r="A170" s="2" t="n">
        <v>169</v>
      </c>
      <c r="B170" s="2" t="s">
        <v>35</v>
      </c>
      <c r="C170" s="2" t="s">
        <v>36</v>
      </c>
      <c r="D170" s="2" t="s">
        <v>37</v>
      </c>
      <c r="E170" s="2" t="s">
        <v>1164</v>
      </c>
      <c r="F170" s="2" t="s">
        <v>1165</v>
      </c>
      <c r="G170" s="2" t="s">
        <v>1166</v>
      </c>
      <c r="H170" s="2" t="s">
        <v>776</v>
      </c>
      <c r="I170" s="2" t="s">
        <v>1167</v>
      </c>
      <c r="J170" s="2"/>
      <c r="K170" s="3"/>
      <c r="L170" s="3"/>
      <c r="M170" s="2" t="s">
        <v>44</v>
      </c>
      <c r="N170" s="2"/>
      <c r="O170" s="2"/>
      <c r="P170" s="2"/>
      <c r="Q170" s="2"/>
      <c r="R170" s="2"/>
      <c r="S170" s="2"/>
      <c r="T170" s="2" t="s">
        <v>592</v>
      </c>
      <c r="U170" s="2"/>
      <c r="V170" s="2"/>
      <c r="W170" s="2" t="s">
        <v>101</v>
      </c>
      <c r="X170" s="2"/>
      <c r="Y170" s="2"/>
      <c r="Z170" s="2"/>
      <c r="AA170" s="2" t="s">
        <v>53</v>
      </c>
      <c r="AB170" s="2" t="s">
        <v>53</v>
      </c>
      <c r="AC170" s="2" t="s">
        <v>53</v>
      </c>
      <c r="AD170" s="2" t="s">
        <v>53</v>
      </c>
      <c r="AE170" s="2" t="s">
        <v>53</v>
      </c>
      <c r="AF170" s="2" t="s">
        <v>53</v>
      </c>
      <c r="AG170" s="2" t="s">
        <v>52</v>
      </c>
      <c r="AH170" s="2" t="s">
        <v>53</v>
      </c>
      <c r="AI170" s="2" t="s">
        <v>53</v>
      </c>
    </row>
    <row r="171" customFormat="false" ht="23.85" hidden="false" customHeight="false" outlineLevel="0" collapsed="false">
      <c r="A171" s="4" t="n">
        <v>170</v>
      </c>
      <c r="B171" s="4" t="s">
        <v>35</v>
      </c>
      <c r="C171" s="4" t="s">
        <v>36</v>
      </c>
      <c r="D171" s="4" t="s">
        <v>37</v>
      </c>
      <c r="E171" s="4" t="s">
        <v>1168</v>
      </c>
      <c r="F171" s="4" t="s">
        <v>1169</v>
      </c>
      <c r="G171" s="4" t="s">
        <v>1170</v>
      </c>
      <c r="H171" s="4" t="s">
        <v>41</v>
      </c>
      <c r="I171" s="4" t="s">
        <v>582</v>
      </c>
      <c r="J171" s="4"/>
      <c r="K171" s="5"/>
      <c r="L171" s="5"/>
      <c r="M171" s="4" t="s">
        <v>58</v>
      </c>
      <c r="N171" s="4"/>
      <c r="O171" s="4"/>
      <c r="P171" s="4"/>
      <c r="Q171" s="4"/>
      <c r="R171" s="4"/>
      <c r="S171" s="4"/>
      <c r="T171" s="4"/>
      <c r="U171" s="4"/>
      <c r="V171" s="4"/>
      <c r="W171" s="4"/>
      <c r="X171" s="4" t="s">
        <v>583</v>
      </c>
      <c r="Y171" s="4"/>
      <c r="Z171" s="4" t="s">
        <v>506</v>
      </c>
      <c r="AA171" s="4" t="s">
        <v>53</v>
      </c>
      <c r="AB171" s="4" t="s">
        <v>53</v>
      </c>
      <c r="AC171" s="4" t="s">
        <v>53</v>
      </c>
      <c r="AD171" s="4" t="s">
        <v>53</v>
      </c>
      <c r="AE171" s="4" t="s">
        <v>53</v>
      </c>
      <c r="AF171" s="4" t="s">
        <v>53</v>
      </c>
      <c r="AG171" s="4" t="s">
        <v>53</v>
      </c>
      <c r="AH171" s="4" t="s">
        <v>53</v>
      </c>
      <c r="AI171" s="4" t="s">
        <v>53</v>
      </c>
    </row>
    <row r="172" customFormat="false" ht="35.05" hidden="false" customHeight="false" outlineLevel="0" collapsed="false">
      <c r="A172" s="2" t="n">
        <v>171</v>
      </c>
      <c r="B172" s="2" t="s">
        <v>35</v>
      </c>
      <c r="C172" s="2" t="s">
        <v>36</v>
      </c>
      <c r="D172" s="2" t="s">
        <v>37</v>
      </c>
      <c r="E172" s="2" t="s">
        <v>1171</v>
      </c>
      <c r="F172" s="2" t="s">
        <v>1172</v>
      </c>
      <c r="G172" s="2" t="s">
        <v>1173</v>
      </c>
      <c r="H172" s="2" t="s">
        <v>776</v>
      </c>
      <c r="I172" s="2" t="s">
        <v>1174</v>
      </c>
      <c r="J172" s="2"/>
      <c r="K172" s="3"/>
      <c r="L172" s="3"/>
      <c r="M172" s="2" t="s">
        <v>44</v>
      </c>
      <c r="N172" s="2"/>
      <c r="O172" s="2"/>
      <c r="P172" s="2"/>
      <c r="Q172" s="2"/>
      <c r="R172" s="2"/>
      <c r="S172" s="2"/>
      <c r="T172" s="2" t="s">
        <v>592</v>
      </c>
      <c r="U172" s="2"/>
      <c r="V172" s="2"/>
      <c r="W172" s="2" t="s">
        <v>139</v>
      </c>
      <c r="X172" s="2"/>
      <c r="Y172" s="2"/>
      <c r="Z172" s="2" t="s">
        <v>1175</v>
      </c>
      <c r="AA172" s="2" t="s">
        <v>53</v>
      </c>
      <c r="AB172" s="2" t="s">
        <v>53</v>
      </c>
      <c r="AC172" s="2" t="s">
        <v>53</v>
      </c>
      <c r="AD172" s="2" t="s">
        <v>53</v>
      </c>
      <c r="AE172" s="2" t="s">
        <v>53</v>
      </c>
      <c r="AF172" s="2" t="s">
        <v>53</v>
      </c>
      <c r="AG172" s="2" t="s">
        <v>52</v>
      </c>
      <c r="AH172" s="2" t="s">
        <v>53</v>
      </c>
      <c r="AI172" s="2" t="s">
        <v>53</v>
      </c>
    </row>
    <row r="173" customFormat="false" ht="23.85" hidden="false" customHeight="false" outlineLevel="0" collapsed="false">
      <c r="A173" s="4" t="n">
        <v>172</v>
      </c>
      <c r="B173" s="4" t="s">
        <v>35</v>
      </c>
      <c r="C173" s="4" t="s">
        <v>36</v>
      </c>
      <c r="D173" s="4" t="s">
        <v>37</v>
      </c>
      <c r="E173" s="4" t="s">
        <v>1176</v>
      </c>
      <c r="F173" s="4" t="s">
        <v>1177</v>
      </c>
      <c r="G173" s="4" t="s">
        <v>1178</v>
      </c>
      <c r="H173" s="4" t="s">
        <v>479</v>
      </c>
      <c r="I173" s="4" t="s">
        <v>1179</v>
      </c>
      <c r="J173" s="4" t="s">
        <v>1180</v>
      </c>
      <c r="K173" s="5" t="n">
        <v>3650</v>
      </c>
      <c r="L173" s="5" t="n">
        <v>3650</v>
      </c>
      <c r="M173" s="4" t="s">
        <v>44</v>
      </c>
      <c r="N173" s="4"/>
      <c r="O173" s="4"/>
      <c r="P173" s="4" t="s">
        <v>135</v>
      </c>
      <c r="Q173" s="4" t="s">
        <v>354</v>
      </c>
      <c r="R173" s="4"/>
      <c r="S173" s="4" t="s">
        <v>159</v>
      </c>
      <c r="T173" s="4" t="s">
        <v>592</v>
      </c>
      <c r="U173" s="4" t="s">
        <v>49</v>
      </c>
      <c r="V173" s="4"/>
      <c r="W173" s="4" t="s">
        <v>1181</v>
      </c>
      <c r="X173" s="4"/>
      <c r="Y173" s="4"/>
      <c r="Z173" s="4" t="s">
        <v>506</v>
      </c>
      <c r="AA173" s="4" t="s">
        <v>53</v>
      </c>
      <c r="AB173" s="4" t="s">
        <v>53</v>
      </c>
      <c r="AC173" s="4" t="s">
        <v>52</v>
      </c>
      <c r="AD173" s="4" t="s">
        <v>52</v>
      </c>
      <c r="AE173" s="4" t="s">
        <v>53</v>
      </c>
      <c r="AF173" s="4" t="s">
        <v>52</v>
      </c>
      <c r="AG173" s="4" t="s">
        <v>52</v>
      </c>
      <c r="AH173" s="4" t="s">
        <v>52</v>
      </c>
      <c r="AI173" s="4" t="s">
        <v>53</v>
      </c>
    </row>
    <row r="174" customFormat="false" ht="23.85" hidden="false" customHeight="false" outlineLevel="0" collapsed="false">
      <c r="A174" s="2" t="n">
        <v>173</v>
      </c>
      <c r="B174" s="2" t="s">
        <v>35</v>
      </c>
      <c r="C174" s="2" t="s">
        <v>36</v>
      </c>
      <c r="D174" s="2" t="s">
        <v>37</v>
      </c>
      <c r="E174" s="2" t="s">
        <v>1182</v>
      </c>
      <c r="F174" s="2" t="s">
        <v>1172</v>
      </c>
      <c r="G174" s="2" t="s">
        <v>1183</v>
      </c>
      <c r="H174" s="2" t="s">
        <v>479</v>
      </c>
      <c r="I174" s="2" t="s">
        <v>1184</v>
      </c>
      <c r="J174" s="2"/>
      <c r="K174" s="3"/>
      <c r="L174" s="3"/>
      <c r="M174" s="2" t="s">
        <v>44</v>
      </c>
      <c r="N174" s="2"/>
      <c r="O174" s="2"/>
      <c r="P174" s="2"/>
      <c r="Q174" s="2"/>
      <c r="R174" s="2"/>
      <c r="S174" s="2"/>
      <c r="T174" s="2" t="s">
        <v>592</v>
      </c>
      <c r="U174" s="2"/>
      <c r="V174" s="2"/>
      <c r="W174" s="2" t="s">
        <v>1185</v>
      </c>
      <c r="X174" s="2"/>
      <c r="Y174" s="2"/>
      <c r="Z174" s="2" t="s">
        <v>628</v>
      </c>
      <c r="AA174" s="2" t="s">
        <v>53</v>
      </c>
      <c r="AB174" s="2" t="s">
        <v>53</v>
      </c>
      <c r="AC174" s="2" t="s">
        <v>53</v>
      </c>
      <c r="AD174" s="2" t="s">
        <v>53</v>
      </c>
      <c r="AE174" s="2" t="s">
        <v>53</v>
      </c>
      <c r="AF174" s="2" t="s">
        <v>53</v>
      </c>
      <c r="AG174" s="2" t="s">
        <v>52</v>
      </c>
      <c r="AH174" s="2" t="s">
        <v>53</v>
      </c>
      <c r="AI174" s="2" t="s">
        <v>53</v>
      </c>
    </row>
    <row r="175" customFormat="false" ht="35.05" hidden="false" customHeight="false" outlineLevel="0" collapsed="false">
      <c r="A175" s="4" t="n">
        <v>174</v>
      </c>
      <c r="B175" s="4" t="s">
        <v>35</v>
      </c>
      <c r="C175" s="4" t="s">
        <v>36</v>
      </c>
      <c r="D175" s="4" t="s">
        <v>37</v>
      </c>
      <c r="E175" s="4" t="s">
        <v>1186</v>
      </c>
      <c r="F175" s="4" t="s">
        <v>1187</v>
      </c>
      <c r="G175" s="4" t="s">
        <v>1188</v>
      </c>
      <c r="H175" s="4" t="s">
        <v>41</v>
      </c>
      <c r="I175" s="4" t="s">
        <v>1189</v>
      </c>
      <c r="J175" s="4"/>
      <c r="K175" s="5"/>
      <c r="L175" s="5"/>
      <c r="M175" s="4" t="s">
        <v>58</v>
      </c>
      <c r="N175" s="4" t="s">
        <v>13</v>
      </c>
      <c r="O175" s="4"/>
      <c r="P175" s="4"/>
      <c r="Q175" s="4" t="s">
        <v>1190</v>
      </c>
      <c r="R175" s="4"/>
      <c r="S175" s="4"/>
      <c r="T175" s="4" t="s">
        <v>481</v>
      </c>
      <c r="U175" s="4"/>
      <c r="V175" s="4"/>
      <c r="W175" s="4" t="s">
        <v>493</v>
      </c>
      <c r="X175" s="4"/>
      <c r="Y175" s="4"/>
      <c r="Z175" s="4" t="s">
        <v>1191</v>
      </c>
      <c r="AA175" s="4" t="s">
        <v>52</v>
      </c>
      <c r="AB175" s="4" t="s">
        <v>53</v>
      </c>
      <c r="AC175" s="4" t="s">
        <v>53</v>
      </c>
      <c r="AD175" s="4" t="s">
        <v>52</v>
      </c>
      <c r="AE175" s="4" t="s">
        <v>53</v>
      </c>
      <c r="AF175" s="4" t="s">
        <v>53</v>
      </c>
      <c r="AG175" s="4" t="s">
        <v>52</v>
      </c>
      <c r="AH175" s="4" t="s">
        <v>53</v>
      </c>
      <c r="AI175" s="4" t="s">
        <v>53</v>
      </c>
    </row>
    <row r="176" customFormat="false" ht="23.85" hidden="false" customHeight="false" outlineLevel="0" collapsed="false">
      <c r="A176" s="2" t="n">
        <v>175</v>
      </c>
      <c r="B176" s="2" t="s">
        <v>35</v>
      </c>
      <c r="C176" s="2" t="s">
        <v>36</v>
      </c>
      <c r="D176" s="2" t="s">
        <v>37</v>
      </c>
      <c r="E176" s="2" t="s">
        <v>1192</v>
      </c>
      <c r="F176" s="2"/>
      <c r="G176" s="2"/>
      <c r="H176" s="2"/>
      <c r="I176" s="2"/>
      <c r="J176" s="2" t="s">
        <v>1193</v>
      </c>
      <c r="K176" s="3" t="n">
        <v>3500</v>
      </c>
      <c r="L176" s="3" t="n">
        <v>3950</v>
      </c>
      <c r="M176" s="2" t="s">
        <v>53</v>
      </c>
      <c r="N176" s="2"/>
      <c r="O176" s="2"/>
      <c r="P176" s="2"/>
      <c r="Q176" s="2"/>
      <c r="R176" s="2"/>
      <c r="S176" s="2"/>
      <c r="T176" s="2"/>
      <c r="U176" s="2"/>
      <c r="V176" s="2"/>
      <c r="W176" s="2"/>
      <c r="X176" s="2"/>
      <c r="Y176" s="2"/>
      <c r="Z176" s="2"/>
      <c r="AA176" s="2" t="s">
        <v>53</v>
      </c>
      <c r="AB176" s="2" t="s">
        <v>53</v>
      </c>
      <c r="AC176" s="2" t="s">
        <v>53</v>
      </c>
      <c r="AD176" s="2" t="s">
        <v>53</v>
      </c>
      <c r="AE176" s="2" t="s">
        <v>53</v>
      </c>
      <c r="AF176" s="2" t="s">
        <v>53</v>
      </c>
      <c r="AG176" s="2" t="s">
        <v>53</v>
      </c>
      <c r="AH176" s="2" t="s">
        <v>53</v>
      </c>
      <c r="AI176" s="2" t="s">
        <v>53</v>
      </c>
    </row>
    <row r="177" customFormat="false" ht="23.85" hidden="false" customHeight="false" outlineLevel="0" collapsed="false">
      <c r="A177" s="4" t="n">
        <v>176</v>
      </c>
      <c r="B177" s="4" t="s">
        <v>35</v>
      </c>
      <c r="C177" s="4" t="s">
        <v>36</v>
      </c>
      <c r="D177" s="4" t="s">
        <v>37</v>
      </c>
      <c r="E177" s="4" t="s">
        <v>1194</v>
      </c>
      <c r="F177" s="4"/>
      <c r="G177" s="4"/>
      <c r="H177" s="4"/>
      <c r="I177" s="4" t="s">
        <v>654</v>
      </c>
      <c r="J177" s="4" t="s">
        <v>1195</v>
      </c>
      <c r="K177" s="5" t="n">
        <v>6900</v>
      </c>
      <c r="L177" s="5" t="n">
        <v>6900</v>
      </c>
      <c r="M177" s="4" t="s">
        <v>53</v>
      </c>
      <c r="N177" s="4"/>
      <c r="O177" s="4"/>
      <c r="P177" s="4"/>
      <c r="Q177" s="4"/>
      <c r="R177" s="4"/>
      <c r="S177" s="4"/>
      <c r="T177" s="4"/>
      <c r="U177" s="4"/>
      <c r="V177" s="4"/>
      <c r="W177" s="4"/>
      <c r="X177" s="4"/>
      <c r="Y177" s="4"/>
      <c r="Z177" s="4"/>
      <c r="AA177" s="4" t="s">
        <v>53</v>
      </c>
      <c r="AB177" s="4" t="s">
        <v>53</v>
      </c>
      <c r="AC177" s="4" t="s">
        <v>53</v>
      </c>
      <c r="AD177" s="4" t="s">
        <v>53</v>
      </c>
      <c r="AE177" s="4" t="s">
        <v>53</v>
      </c>
      <c r="AF177" s="4" t="s">
        <v>53</v>
      </c>
      <c r="AG177" s="4" t="s">
        <v>53</v>
      </c>
      <c r="AH177" s="4" t="s">
        <v>53</v>
      </c>
      <c r="AI177" s="4" t="s">
        <v>53</v>
      </c>
    </row>
    <row r="178" customFormat="false" ht="35.05" hidden="false" customHeight="false" outlineLevel="0" collapsed="false">
      <c r="A178" s="2" t="n">
        <v>177</v>
      </c>
      <c r="B178" s="2" t="s">
        <v>35</v>
      </c>
      <c r="C178" s="2" t="s">
        <v>36</v>
      </c>
      <c r="D178" s="2" t="s">
        <v>37</v>
      </c>
      <c r="E178" s="2" t="s">
        <v>1196</v>
      </c>
      <c r="F178" s="2" t="s">
        <v>68</v>
      </c>
      <c r="G178" s="2" t="s">
        <v>1197</v>
      </c>
      <c r="H178" s="2" t="s">
        <v>776</v>
      </c>
      <c r="I178" s="2" t="s">
        <v>1198</v>
      </c>
      <c r="J178" s="2" t="s">
        <v>1199</v>
      </c>
      <c r="K178" s="3"/>
      <c r="L178" s="3"/>
      <c r="M178" s="2" t="s">
        <v>44</v>
      </c>
      <c r="N178" s="2" t="s">
        <v>13</v>
      </c>
      <c r="O178" s="2"/>
      <c r="P178" s="2"/>
      <c r="Q178" s="2" t="s">
        <v>354</v>
      </c>
      <c r="R178" s="2"/>
      <c r="S178" s="2" t="s">
        <v>159</v>
      </c>
      <c r="T178" s="2" t="s">
        <v>592</v>
      </c>
      <c r="U178" s="2" t="s">
        <v>640</v>
      </c>
      <c r="V178" s="2"/>
      <c r="W178" s="2" t="s">
        <v>1200</v>
      </c>
      <c r="X178" s="2"/>
      <c r="Y178" s="2"/>
      <c r="Z178" s="2" t="s">
        <v>1201</v>
      </c>
      <c r="AA178" s="2" t="s">
        <v>52</v>
      </c>
      <c r="AB178" s="2" t="s">
        <v>53</v>
      </c>
      <c r="AC178" s="2" t="s">
        <v>53</v>
      </c>
      <c r="AD178" s="2" t="s">
        <v>52</v>
      </c>
      <c r="AE178" s="2" t="s">
        <v>53</v>
      </c>
      <c r="AF178" s="2" t="s">
        <v>52</v>
      </c>
      <c r="AG178" s="2" t="s">
        <v>52</v>
      </c>
      <c r="AH178" s="2" t="s">
        <v>52</v>
      </c>
      <c r="AI178" s="2" t="s">
        <v>53</v>
      </c>
    </row>
    <row r="179" customFormat="false" ht="23.85" hidden="false" customHeight="false" outlineLevel="0" collapsed="false">
      <c r="A179" s="4" t="n">
        <v>178</v>
      </c>
      <c r="B179" s="4" t="s">
        <v>35</v>
      </c>
      <c r="C179" s="4" t="s">
        <v>36</v>
      </c>
      <c r="D179" s="4" t="s">
        <v>37</v>
      </c>
      <c r="E179" s="4" t="s">
        <v>1202</v>
      </c>
      <c r="F179" s="4" t="s">
        <v>1203</v>
      </c>
      <c r="G179" s="4" t="s">
        <v>1204</v>
      </c>
      <c r="H179" s="4" t="s">
        <v>186</v>
      </c>
      <c r="I179" s="4" t="s">
        <v>698</v>
      </c>
      <c r="J179" s="4"/>
      <c r="K179" s="5"/>
      <c r="L179" s="5"/>
      <c r="M179" s="4" t="s">
        <v>53</v>
      </c>
      <c r="N179" s="4"/>
      <c r="O179" s="4"/>
      <c r="P179" s="4"/>
      <c r="Q179" s="4"/>
      <c r="R179" s="4"/>
      <c r="S179" s="4"/>
      <c r="T179" s="4"/>
      <c r="U179" s="4"/>
      <c r="V179" s="4"/>
      <c r="W179" s="4" t="s">
        <v>139</v>
      </c>
      <c r="X179" s="4"/>
      <c r="Y179" s="4"/>
      <c r="Z179" s="4" t="s">
        <v>1151</v>
      </c>
      <c r="AA179" s="4" t="s">
        <v>53</v>
      </c>
      <c r="AB179" s="4" t="s">
        <v>53</v>
      </c>
      <c r="AC179" s="4" t="s">
        <v>53</v>
      </c>
      <c r="AD179" s="4" t="s">
        <v>53</v>
      </c>
      <c r="AE179" s="4" t="s">
        <v>53</v>
      </c>
      <c r="AF179" s="4" t="s">
        <v>53</v>
      </c>
      <c r="AG179" s="4" t="s">
        <v>53</v>
      </c>
      <c r="AH179" s="4" t="s">
        <v>53</v>
      </c>
      <c r="AI179" s="4" t="s">
        <v>53</v>
      </c>
    </row>
    <row r="180" customFormat="false" ht="23.85" hidden="false" customHeight="false" outlineLevel="0" collapsed="false">
      <c r="A180" s="2" t="n">
        <v>179</v>
      </c>
      <c r="B180" s="2" t="s">
        <v>35</v>
      </c>
      <c r="C180" s="2" t="s">
        <v>36</v>
      </c>
      <c r="D180" s="2" t="s">
        <v>37</v>
      </c>
      <c r="E180" s="2" t="s">
        <v>1205</v>
      </c>
      <c r="F180" s="2" t="s">
        <v>696</v>
      </c>
      <c r="G180" s="2" t="s">
        <v>1206</v>
      </c>
      <c r="H180" s="2" t="s">
        <v>479</v>
      </c>
      <c r="I180" s="2" t="s">
        <v>1207</v>
      </c>
      <c r="J180" s="2"/>
      <c r="K180" s="3"/>
      <c r="L180" s="3"/>
      <c r="M180" s="2" t="s">
        <v>44</v>
      </c>
      <c r="N180" s="2"/>
      <c r="O180" s="2"/>
      <c r="P180" s="2"/>
      <c r="Q180" s="2"/>
      <c r="R180" s="2"/>
      <c r="S180" s="2" t="s">
        <v>48</v>
      </c>
      <c r="T180" s="2" t="s">
        <v>592</v>
      </c>
      <c r="U180" s="2" t="s">
        <v>1208</v>
      </c>
      <c r="V180" s="2"/>
      <c r="W180" s="2" t="s">
        <v>1209</v>
      </c>
      <c r="X180" s="2"/>
      <c r="Y180" s="2"/>
      <c r="Z180" s="2" t="s">
        <v>78</v>
      </c>
      <c r="AA180" s="2" t="s">
        <v>53</v>
      </c>
      <c r="AB180" s="2" t="s">
        <v>53</v>
      </c>
      <c r="AC180" s="2" t="s">
        <v>53</v>
      </c>
      <c r="AD180" s="2" t="s">
        <v>53</v>
      </c>
      <c r="AE180" s="2" t="s">
        <v>53</v>
      </c>
      <c r="AF180" s="2" t="s">
        <v>52</v>
      </c>
      <c r="AG180" s="2" t="s">
        <v>52</v>
      </c>
      <c r="AH180" s="2" t="s">
        <v>52</v>
      </c>
      <c r="AI180" s="2" t="s">
        <v>53</v>
      </c>
    </row>
    <row r="181" customFormat="false" ht="23.85" hidden="false" customHeight="false" outlineLevel="0" collapsed="false">
      <c r="A181" s="4" t="n">
        <v>180</v>
      </c>
      <c r="B181" s="4" t="s">
        <v>35</v>
      </c>
      <c r="C181" s="4" t="s">
        <v>36</v>
      </c>
      <c r="D181" s="4" t="s">
        <v>37</v>
      </c>
      <c r="E181" s="4" t="s">
        <v>1210</v>
      </c>
      <c r="F181" s="4" t="s">
        <v>1211</v>
      </c>
      <c r="G181" s="4" t="s">
        <v>979</v>
      </c>
      <c r="H181" s="4" t="s">
        <v>776</v>
      </c>
      <c r="I181" s="4" t="s">
        <v>521</v>
      </c>
      <c r="J181" s="4"/>
      <c r="K181" s="5"/>
      <c r="L181" s="5"/>
      <c r="M181" s="4" t="s">
        <v>44</v>
      </c>
      <c r="N181" s="4"/>
      <c r="O181" s="4"/>
      <c r="P181" s="4"/>
      <c r="Q181" s="4"/>
      <c r="R181" s="4"/>
      <c r="S181" s="4" t="s">
        <v>159</v>
      </c>
      <c r="T181" s="4" t="s">
        <v>592</v>
      </c>
      <c r="U181" s="4" t="s">
        <v>1212</v>
      </c>
      <c r="V181" s="4"/>
      <c r="W181" s="4" t="s">
        <v>1213</v>
      </c>
      <c r="X181" s="4"/>
      <c r="Y181" s="4"/>
      <c r="Z181" s="4" t="s">
        <v>1214</v>
      </c>
      <c r="AA181" s="4" t="s">
        <v>53</v>
      </c>
      <c r="AB181" s="4" t="s">
        <v>53</v>
      </c>
      <c r="AC181" s="4" t="s">
        <v>53</v>
      </c>
      <c r="AD181" s="4" t="s">
        <v>53</v>
      </c>
      <c r="AE181" s="4" t="s">
        <v>53</v>
      </c>
      <c r="AF181" s="4" t="s">
        <v>52</v>
      </c>
      <c r="AG181" s="4" t="s">
        <v>52</v>
      </c>
      <c r="AH181" s="4" t="s">
        <v>52</v>
      </c>
      <c r="AI181" s="4" t="s">
        <v>53</v>
      </c>
    </row>
    <row r="182" customFormat="false" ht="23.85" hidden="false" customHeight="false" outlineLevel="0" collapsed="false">
      <c r="A182" s="2" t="n">
        <v>181</v>
      </c>
      <c r="B182" s="2" t="s">
        <v>35</v>
      </c>
      <c r="C182" s="2" t="s">
        <v>36</v>
      </c>
      <c r="D182" s="2" t="s">
        <v>37</v>
      </c>
      <c r="E182" s="2" t="s">
        <v>1215</v>
      </c>
      <c r="F182" s="2" t="s">
        <v>1216</v>
      </c>
      <c r="G182" s="2" t="s">
        <v>214</v>
      </c>
      <c r="H182" s="2" t="s">
        <v>479</v>
      </c>
      <c r="I182" s="2" t="s">
        <v>1217</v>
      </c>
      <c r="J182" s="2"/>
      <c r="K182" s="3"/>
      <c r="L182" s="3"/>
      <c r="M182" s="2" t="s">
        <v>44</v>
      </c>
      <c r="N182" s="2"/>
      <c r="O182" s="2"/>
      <c r="P182" s="2"/>
      <c r="Q182" s="2"/>
      <c r="R182" s="2"/>
      <c r="S182" s="2"/>
      <c r="T182" s="2"/>
      <c r="U182" s="2"/>
      <c r="V182" s="2"/>
      <c r="W182" s="2" t="s">
        <v>1218</v>
      </c>
      <c r="X182" s="2"/>
      <c r="Y182" s="2"/>
      <c r="Z182" s="2" t="s">
        <v>1219</v>
      </c>
      <c r="AA182" s="2" t="s">
        <v>53</v>
      </c>
      <c r="AB182" s="2" t="s">
        <v>53</v>
      </c>
      <c r="AC182" s="2" t="s">
        <v>53</v>
      </c>
      <c r="AD182" s="2" t="s">
        <v>53</v>
      </c>
      <c r="AE182" s="2" t="s">
        <v>53</v>
      </c>
      <c r="AF182" s="2" t="s">
        <v>53</v>
      </c>
      <c r="AG182" s="2" t="s">
        <v>53</v>
      </c>
      <c r="AH182" s="2" t="s">
        <v>53</v>
      </c>
      <c r="AI182" s="2" t="s">
        <v>53</v>
      </c>
    </row>
    <row r="183" customFormat="false" ht="23.85" hidden="false" customHeight="false" outlineLevel="0" collapsed="false">
      <c r="A183" s="4" t="n">
        <v>182</v>
      </c>
      <c r="B183" s="4" t="s">
        <v>35</v>
      </c>
      <c r="C183" s="4" t="s">
        <v>36</v>
      </c>
      <c r="D183" s="4" t="s">
        <v>37</v>
      </c>
      <c r="E183" s="4" t="s">
        <v>1220</v>
      </c>
      <c r="F183" s="4" t="s">
        <v>1221</v>
      </c>
      <c r="G183" s="4" t="s">
        <v>1222</v>
      </c>
      <c r="H183" s="4" t="s">
        <v>186</v>
      </c>
      <c r="I183" s="4" t="s">
        <v>1223</v>
      </c>
      <c r="J183" s="4"/>
      <c r="K183" s="5"/>
      <c r="L183" s="5"/>
      <c r="M183" s="4" t="s">
        <v>53</v>
      </c>
      <c r="N183" s="4"/>
      <c r="O183" s="4"/>
      <c r="P183" s="4"/>
      <c r="Q183" s="4"/>
      <c r="R183" s="4"/>
      <c r="S183" s="4"/>
      <c r="T183" s="4"/>
      <c r="U183" s="4"/>
      <c r="V183" s="4"/>
      <c r="W183" s="4"/>
      <c r="X183" s="4" t="s">
        <v>583</v>
      </c>
      <c r="Y183" s="4"/>
      <c r="Z183" s="4" t="s">
        <v>1002</v>
      </c>
      <c r="AA183" s="4" t="s">
        <v>53</v>
      </c>
      <c r="AB183" s="4" t="s">
        <v>53</v>
      </c>
      <c r="AC183" s="4" t="s">
        <v>53</v>
      </c>
      <c r="AD183" s="4" t="s">
        <v>53</v>
      </c>
      <c r="AE183" s="4" t="s">
        <v>53</v>
      </c>
      <c r="AF183" s="4" t="s">
        <v>53</v>
      </c>
      <c r="AG183" s="4" t="s">
        <v>53</v>
      </c>
      <c r="AH183" s="4" t="s">
        <v>53</v>
      </c>
      <c r="AI183" s="4" t="s">
        <v>53</v>
      </c>
    </row>
    <row r="184" customFormat="false" ht="23.85" hidden="false" customHeight="false" outlineLevel="0" collapsed="false">
      <c r="A184" s="2" t="n">
        <v>183</v>
      </c>
      <c r="B184" s="2" t="s">
        <v>35</v>
      </c>
      <c r="C184" s="2" t="s">
        <v>36</v>
      </c>
      <c r="D184" s="2" t="s">
        <v>37</v>
      </c>
      <c r="E184" s="2" t="s">
        <v>1224</v>
      </c>
      <c r="F184" s="2" t="s">
        <v>1225</v>
      </c>
      <c r="G184" s="2" t="s">
        <v>1222</v>
      </c>
      <c r="H184" s="2" t="s">
        <v>479</v>
      </c>
      <c r="I184" s="2" t="s">
        <v>1226</v>
      </c>
      <c r="J184" s="2"/>
      <c r="K184" s="3"/>
      <c r="L184" s="3"/>
      <c r="M184" s="2" t="s">
        <v>44</v>
      </c>
      <c r="N184" s="2" t="s">
        <v>13</v>
      </c>
      <c r="O184" s="2"/>
      <c r="P184" s="2"/>
      <c r="Q184" s="2"/>
      <c r="R184" s="2"/>
      <c r="S184" s="2" t="s">
        <v>1227</v>
      </c>
      <c r="T184" s="2" t="s">
        <v>592</v>
      </c>
      <c r="U184" s="2"/>
      <c r="V184" s="2"/>
      <c r="W184" s="2" t="s">
        <v>1228</v>
      </c>
      <c r="X184" s="2"/>
      <c r="Y184" s="2"/>
      <c r="Z184" s="2" t="s">
        <v>327</v>
      </c>
      <c r="AA184" s="2" t="s">
        <v>52</v>
      </c>
      <c r="AB184" s="2" t="s">
        <v>53</v>
      </c>
      <c r="AC184" s="2" t="s">
        <v>53</v>
      </c>
      <c r="AD184" s="2" t="s">
        <v>53</v>
      </c>
      <c r="AE184" s="2" t="s">
        <v>53</v>
      </c>
      <c r="AF184" s="2" t="s">
        <v>52</v>
      </c>
      <c r="AG184" s="2" t="s">
        <v>52</v>
      </c>
      <c r="AH184" s="2" t="s">
        <v>53</v>
      </c>
      <c r="AI184" s="2" t="s">
        <v>53</v>
      </c>
    </row>
    <row r="185" customFormat="false" ht="35.05" hidden="false" customHeight="false" outlineLevel="0" collapsed="false">
      <c r="A185" s="4" t="n">
        <v>184</v>
      </c>
      <c r="B185" s="4" t="s">
        <v>35</v>
      </c>
      <c r="C185" s="4" t="s">
        <v>36</v>
      </c>
      <c r="D185" s="4" t="s">
        <v>37</v>
      </c>
      <c r="E185" s="4" t="s">
        <v>1229</v>
      </c>
      <c r="F185" s="4" t="s">
        <v>1230</v>
      </c>
      <c r="G185" s="4" t="s">
        <v>1231</v>
      </c>
      <c r="H185" s="4" t="s">
        <v>41</v>
      </c>
      <c r="I185" s="4" t="s">
        <v>654</v>
      </c>
      <c r="J185" s="4"/>
      <c r="K185" s="5"/>
      <c r="L185" s="5"/>
      <c r="M185" s="4" t="s">
        <v>58</v>
      </c>
      <c r="N185" s="4"/>
      <c r="O185" s="4" t="s">
        <v>1232</v>
      </c>
      <c r="P185" s="4"/>
      <c r="Q185" s="4"/>
      <c r="R185" s="4"/>
      <c r="S185" s="4"/>
      <c r="T185" s="4" t="s">
        <v>592</v>
      </c>
      <c r="U185" s="4" t="s">
        <v>1233</v>
      </c>
      <c r="V185" s="4"/>
      <c r="W185" s="4" t="s">
        <v>1234</v>
      </c>
      <c r="X185" s="4"/>
      <c r="Y185" s="4"/>
      <c r="Z185" s="4" t="s">
        <v>1235</v>
      </c>
      <c r="AA185" s="4" t="s">
        <v>53</v>
      </c>
      <c r="AB185" s="4" t="s">
        <v>52</v>
      </c>
      <c r="AC185" s="4" t="s">
        <v>53</v>
      </c>
      <c r="AD185" s="4" t="s">
        <v>53</v>
      </c>
      <c r="AE185" s="4" t="s">
        <v>53</v>
      </c>
      <c r="AF185" s="4" t="s">
        <v>53</v>
      </c>
      <c r="AG185" s="4" t="s">
        <v>52</v>
      </c>
      <c r="AH185" s="4" t="s">
        <v>52</v>
      </c>
      <c r="AI185" s="4" t="s">
        <v>53</v>
      </c>
    </row>
    <row r="186" customFormat="false" ht="23.85" hidden="false" customHeight="false" outlineLevel="0" collapsed="false">
      <c r="A186" s="2" t="n">
        <v>185</v>
      </c>
      <c r="B186" s="2" t="s">
        <v>35</v>
      </c>
      <c r="C186" s="2" t="s">
        <v>36</v>
      </c>
      <c r="D186" s="2" t="s">
        <v>37</v>
      </c>
      <c r="E186" s="2" t="s">
        <v>1236</v>
      </c>
      <c r="F186" s="2" t="s">
        <v>203</v>
      </c>
      <c r="G186" s="2" t="s">
        <v>1237</v>
      </c>
      <c r="H186" s="2" t="s">
        <v>186</v>
      </c>
      <c r="I186" s="2" t="s">
        <v>1238</v>
      </c>
      <c r="J186" s="2"/>
      <c r="K186" s="3"/>
      <c r="L186" s="3"/>
      <c r="M186" s="2" t="s">
        <v>53</v>
      </c>
      <c r="N186" s="2"/>
      <c r="O186" s="2"/>
      <c r="P186" s="2"/>
      <c r="Q186" s="2"/>
      <c r="R186" s="2"/>
      <c r="S186" s="2"/>
      <c r="T186" s="2" t="s">
        <v>592</v>
      </c>
      <c r="U186" s="2"/>
      <c r="V186" s="2"/>
      <c r="W186" s="2" t="s">
        <v>1239</v>
      </c>
      <c r="X186" s="2"/>
      <c r="Y186" s="2"/>
      <c r="Z186" s="2" t="s">
        <v>1151</v>
      </c>
      <c r="AA186" s="2" t="s">
        <v>53</v>
      </c>
      <c r="AB186" s="2" t="s">
        <v>53</v>
      </c>
      <c r="AC186" s="2" t="s">
        <v>53</v>
      </c>
      <c r="AD186" s="2" t="s">
        <v>53</v>
      </c>
      <c r="AE186" s="2" t="s">
        <v>53</v>
      </c>
      <c r="AF186" s="2" t="s">
        <v>53</v>
      </c>
      <c r="AG186" s="2" t="s">
        <v>52</v>
      </c>
      <c r="AH186" s="2" t="s">
        <v>53</v>
      </c>
      <c r="AI186" s="2" t="s">
        <v>53</v>
      </c>
    </row>
    <row r="187" customFormat="false" ht="23.85" hidden="false" customHeight="false" outlineLevel="0" collapsed="false">
      <c r="A187" s="4" t="n">
        <v>186</v>
      </c>
      <c r="B187" s="4" t="s">
        <v>35</v>
      </c>
      <c r="C187" s="4" t="s">
        <v>36</v>
      </c>
      <c r="D187" s="4" t="s">
        <v>37</v>
      </c>
      <c r="E187" s="4" t="s">
        <v>1240</v>
      </c>
      <c r="F187" s="4" t="s">
        <v>1241</v>
      </c>
      <c r="G187" s="4" t="s">
        <v>1242</v>
      </c>
      <c r="H187" s="4" t="s">
        <v>41</v>
      </c>
      <c r="I187" s="4" t="s">
        <v>1243</v>
      </c>
      <c r="J187" s="4"/>
      <c r="K187" s="5"/>
      <c r="L187" s="5"/>
      <c r="M187" s="4" t="s">
        <v>58</v>
      </c>
      <c r="N187" s="4"/>
      <c r="O187" s="4"/>
      <c r="P187" s="4" t="s">
        <v>1244</v>
      </c>
      <c r="Q187" s="4" t="s">
        <v>1245</v>
      </c>
      <c r="R187" s="4" t="s">
        <v>1246</v>
      </c>
      <c r="S187" s="4" t="s">
        <v>1247</v>
      </c>
      <c r="T187" s="4" t="s">
        <v>592</v>
      </c>
      <c r="U187" s="4" t="s">
        <v>1248</v>
      </c>
      <c r="V187" s="4"/>
      <c r="W187" s="4" t="s">
        <v>139</v>
      </c>
      <c r="X187" s="4"/>
      <c r="Y187" s="4"/>
      <c r="Z187" s="4" t="s">
        <v>78</v>
      </c>
      <c r="AA187" s="4" t="s">
        <v>53</v>
      </c>
      <c r="AB187" s="4" t="s">
        <v>53</v>
      </c>
      <c r="AC187" s="4" t="s">
        <v>52</v>
      </c>
      <c r="AD187" s="4" t="s">
        <v>52</v>
      </c>
      <c r="AE187" s="4" t="s">
        <v>52</v>
      </c>
      <c r="AF187" s="4" t="s">
        <v>52</v>
      </c>
      <c r="AG187" s="4" t="s">
        <v>52</v>
      </c>
      <c r="AH187" s="4" t="s">
        <v>52</v>
      </c>
      <c r="AI187" s="4" t="s">
        <v>53</v>
      </c>
    </row>
    <row r="188" customFormat="false" ht="23.85" hidden="false" customHeight="false" outlineLevel="0" collapsed="false">
      <c r="A188" s="2" t="n">
        <v>187</v>
      </c>
      <c r="B188" s="2" t="s">
        <v>35</v>
      </c>
      <c r="C188" s="2" t="s">
        <v>36</v>
      </c>
      <c r="D188" s="2" t="s">
        <v>37</v>
      </c>
      <c r="E188" s="2" t="s">
        <v>1249</v>
      </c>
      <c r="F188" s="2" t="s">
        <v>1203</v>
      </c>
      <c r="G188" s="2" t="s">
        <v>1250</v>
      </c>
      <c r="H188" s="2" t="s">
        <v>186</v>
      </c>
      <c r="I188" s="2" t="s">
        <v>605</v>
      </c>
      <c r="J188" s="2"/>
      <c r="K188" s="3"/>
      <c r="L188" s="3"/>
      <c r="M188" s="2" t="s">
        <v>53</v>
      </c>
      <c r="N188" s="2"/>
      <c r="O188" s="2"/>
      <c r="P188" s="2"/>
      <c r="Q188" s="2"/>
      <c r="R188" s="2"/>
      <c r="S188" s="2"/>
      <c r="T188" s="2"/>
      <c r="U188" s="2"/>
      <c r="V188" s="2"/>
      <c r="W188" s="2" t="s">
        <v>139</v>
      </c>
      <c r="X188" s="2"/>
      <c r="Y188" s="2"/>
      <c r="Z188" s="2" t="s">
        <v>280</v>
      </c>
      <c r="AA188" s="2" t="s">
        <v>53</v>
      </c>
      <c r="AB188" s="2" t="s">
        <v>53</v>
      </c>
      <c r="AC188" s="2" t="s">
        <v>53</v>
      </c>
      <c r="AD188" s="2" t="s">
        <v>53</v>
      </c>
      <c r="AE188" s="2" t="s">
        <v>53</v>
      </c>
      <c r="AF188" s="2" t="s">
        <v>53</v>
      </c>
      <c r="AG188" s="2" t="s">
        <v>53</v>
      </c>
      <c r="AH188" s="2" t="s">
        <v>53</v>
      </c>
      <c r="AI188" s="2" t="s">
        <v>53</v>
      </c>
    </row>
    <row r="189" customFormat="false" ht="23.85" hidden="false" customHeight="false" outlineLevel="0" collapsed="false">
      <c r="A189" s="4" t="n">
        <v>188</v>
      </c>
      <c r="B189" s="4" t="s">
        <v>35</v>
      </c>
      <c r="C189" s="4" t="s">
        <v>36</v>
      </c>
      <c r="D189" s="4" t="s">
        <v>37</v>
      </c>
      <c r="E189" s="4" t="s">
        <v>1251</v>
      </c>
      <c r="F189" s="4" t="s">
        <v>203</v>
      </c>
      <c r="G189" s="4" t="s">
        <v>1252</v>
      </c>
      <c r="H189" s="4" t="s">
        <v>186</v>
      </c>
      <c r="I189" s="4" t="s">
        <v>345</v>
      </c>
      <c r="J189" s="4"/>
      <c r="K189" s="5"/>
      <c r="L189" s="5"/>
      <c r="M189" s="4" t="s">
        <v>53</v>
      </c>
      <c r="N189" s="4"/>
      <c r="O189" s="4"/>
      <c r="P189" s="4"/>
      <c r="Q189" s="4"/>
      <c r="R189" s="4"/>
      <c r="S189" s="4"/>
      <c r="T189" s="4" t="s">
        <v>592</v>
      </c>
      <c r="U189" s="4"/>
      <c r="V189" s="4"/>
      <c r="W189" s="4" t="s">
        <v>1239</v>
      </c>
      <c r="X189" s="4"/>
      <c r="Y189" s="4"/>
      <c r="Z189" s="4" t="s">
        <v>280</v>
      </c>
      <c r="AA189" s="4" t="s">
        <v>53</v>
      </c>
      <c r="AB189" s="4" t="s">
        <v>53</v>
      </c>
      <c r="AC189" s="4" t="s">
        <v>53</v>
      </c>
      <c r="AD189" s="4" t="s">
        <v>53</v>
      </c>
      <c r="AE189" s="4" t="s">
        <v>53</v>
      </c>
      <c r="AF189" s="4" t="s">
        <v>53</v>
      </c>
      <c r="AG189" s="4" t="s">
        <v>52</v>
      </c>
      <c r="AH189" s="4" t="s">
        <v>53</v>
      </c>
      <c r="AI189" s="4" t="s">
        <v>53</v>
      </c>
    </row>
    <row r="190" customFormat="false" ht="23.85" hidden="false" customHeight="false" outlineLevel="0" collapsed="false">
      <c r="A190" s="2" t="n">
        <v>189</v>
      </c>
      <c r="B190" s="2" t="s">
        <v>35</v>
      </c>
      <c r="C190" s="2" t="s">
        <v>36</v>
      </c>
      <c r="D190" s="2" t="s">
        <v>37</v>
      </c>
      <c r="E190" s="2" t="s">
        <v>1253</v>
      </c>
      <c r="F190" s="2" t="s">
        <v>1254</v>
      </c>
      <c r="G190" s="2" t="s">
        <v>1255</v>
      </c>
      <c r="H190" s="2" t="s">
        <v>479</v>
      </c>
      <c r="I190" s="2" t="s">
        <v>1256</v>
      </c>
      <c r="J190" s="2" t="s">
        <v>1257</v>
      </c>
      <c r="K190" s="3"/>
      <c r="L190" s="3"/>
      <c r="M190" s="2" t="s">
        <v>44</v>
      </c>
      <c r="N190" s="2"/>
      <c r="O190" s="2" t="s">
        <v>1258</v>
      </c>
      <c r="P190" s="2"/>
      <c r="Q190" s="2"/>
      <c r="R190" s="2" t="s">
        <v>1259</v>
      </c>
      <c r="S190" s="2"/>
      <c r="T190" s="2" t="s">
        <v>592</v>
      </c>
      <c r="U190" s="2"/>
      <c r="V190" s="2"/>
      <c r="W190" s="2" t="s">
        <v>1260</v>
      </c>
      <c r="X190" s="2"/>
      <c r="Y190" s="2"/>
      <c r="Z190" s="2" t="s">
        <v>1261</v>
      </c>
      <c r="AA190" s="2" t="s">
        <v>53</v>
      </c>
      <c r="AB190" s="2" t="s">
        <v>52</v>
      </c>
      <c r="AC190" s="2" t="s">
        <v>53</v>
      </c>
      <c r="AD190" s="2" t="s">
        <v>53</v>
      </c>
      <c r="AE190" s="2" t="s">
        <v>52</v>
      </c>
      <c r="AF190" s="2" t="s">
        <v>53</v>
      </c>
      <c r="AG190" s="2" t="s">
        <v>52</v>
      </c>
      <c r="AH190" s="2" t="s">
        <v>53</v>
      </c>
      <c r="AI190" s="2" t="s">
        <v>53</v>
      </c>
    </row>
    <row r="191" customFormat="false" ht="46.25" hidden="false" customHeight="false" outlineLevel="0" collapsed="false">
      <c r="A191" s="4" t="n">
        <v>190</v>
      </c>
      <c r="B191" s="4" t="s">
        <v>35</v>
      </c>
      <c r="C191" s="4" t="s">
        <v>36</v>
      </c>
      <c r="D191" s="4" t="s">
        <v>37</v>
      </c>
      <c r="E191" s="4" t="s">
        <v>1262</v>
      </c>
      <c r="F191" s="4" t="s">
        <v>1262</v>
      </c>
      <c r="G191" s="4" t="s">
        <v>381</v>
      </c>
      <c r="H191" s="4" t="s">
        <v>479</v>
      </c>
      <c r="I191" s="4" t="s">
        <v>432</v>
      </c>
      <c r="J191" s="4"/>
      <c r="K191" s="5"/>
      <c r="L191" s="5"/>
      <c r="M191" s="4" t="s">
        <v>44</v>
      </c>
      <c r="N191" s="4"/>
      <c r="O191" s="4"/>
      <c r="P191" s="4"/>
      <c r="Q191" s="4"/>
      <c r="R191" s="4"/>
      <c r="S191" s="4"/>
      <c r="T191" s="4" t="s">
        <v>592</v>
      </c>
      <c r="U191" s="4" t="s">
        <v>1263</v>
      </c>
      <c r="V191" s="4"/>
      <c r="W191" s="4" t="s">
        <v>1264</v>
      </c>
      <c r="X191" s="4"/>
      <c r="Y191" s="4"/>
      <c r="Z191" s="4" t="s">
        <v>1265</v>
      </c>
      <c r="AA191" s="4" t="s">
        <v>53</v>
      </c>
      <c r="AB191" s="4" t="s">
        <v>53</v>
      </c>
      <c r="AC191" s="4" t="s">
        <v>53</v>
      </c>
      <c r="AD191" s="4" t="s">
        <v>53</v>
      </c>
      <c r="AE191" s="4" t="s">
        <v>53</v>
      </c>
      <c r="AF191" s="4" t="s">
        <v>53</v>
      </c>
      <c r="AG191" s="4" t="s">
        <v>52</v>
      </c>
      <c r="AH191" s="4" t="s">
        <v>52</v>
      </c>
      <c r="AI191" s="4" t="s">
        <v>53</v>
      </c>
    </row>
    <row r="192" customFormat="false" ht="23.85" hidden="false" customHeight="false" outlineLevel="0" collapsed="false">
      <c r="A192" s="2" t="n">
        <v>191</v>
      </c>
      <c r="B192" s="2" t="s">
        <v>35</v>
      </c>
      <c r="C192" s="2" t="s">
        <v>36</v>
      </c>
      <c r="D192" s="2" t="s">
        <v>37</v>
      </c>
      <c r="E192" s="2" t="s">
        <v>1266</v>
      </c>
      <c r="F192" s="2" t="s">
        <v>1254</v>
      </c>
      <c r="G192" s="2" t="s">
        <v>1267</v>
      </c>
      <c r="H192" s="2" t="s">
        <v>479</v>
      </c>
      <c r="I192" s="2" t="s">
        <v>1268</v>
      </c>
      <c r="J192" s="2"/>
      <c r="K192" s="3"/>
      <c r="L192" s="3"/>
      <c r="M192" s="2" t="s">
        <v>44</v>
      </c>
      <c r="N192" s="2"/>
      <c r="O192" s="2" t="s">
        <v>1269</v>
      </c>
      <c r="P192" s="2"/>
      <c r="Q192" s="2"/>
      <c r="R192" s="2" t="s">
        <v>1269</v>
      </c>
      <c r="S192" s="2"/>
      <c r="T192" s="2" t="s">
        <v>592</v>
      </c>
      <c r="U192" s="2"/>
      <c r="V192" s="2" t="s">
        <v>1270</v>
      </c>
      <c r="W192" s="2" t="s">
        <v>1271</v>
      </c>
      <c r="X192" s="2"/>
      <c r="Y192" s="2"/>
      <c r="Z192" s="2" t="s">
        <v>327</v>
      </c>
      <c r="AA192" s="2" t="s">
        <v>53</v>
      </c>
      <c r="AB192" s="2" t="s">
        <v>52</v>
      </c>
      <c r="AC192" s="2" t="s">
        <v>53</v>
      </c>
      <c r="AD192" s="2" t="s">
        <v>53</v>
      </c>
      <c r="AE192" s="2" t="s">
        <v>52</v>
      </c>
      <c r="AF192" s="2" t="s">
        <v>53</v>
      </c>
      <c r="AG192" s="2" t="s">
        <v>52</v>
      </c>
      <c r="AH192" s="2" t="s">
        <v>53</v>
      </c>
      <c r="AI192" s="2" t="s">
        <v>52</v>
      </c>
    </row>
    <row r="193" customFormat="false" ht="35.05" hidden="false" customHeight="false" outlineLevel="0" collapsed="false">
      <c r="A193" s="4" t="n">
        <v>192</v>
      </c>
      <c r="B193" s="4" t="s">
        <v>35</v>
      </c>
      <c r="C193" s="4" t="s">
        <v>36</v>
      </c>
      <c r="D193" s="4" t="s">
        <v>37</v>
      </c>
      <c r="E193" s="4" t="s">
        <v>1272</v>
      </c>
      <c r="F193" s="4" t="s">
        <v>1272</v>
      </c>
      <c r="G193" s="4" t="s">
        <v>1273</v>
      </c>
      <c r="H193" s="4" t="s">
        <v>41</v>
      </c>
      <c r="I193" s="4" t="s">
        <v>366</v>
      </c>
      <c r="J193" s="4"/>
      <c r="K193" s="5"/>
      <c r="L193" s="5"/>
      <c r="M193" s="4" t="s">
        <v>58</v>
      </c>
      <c r="N193" s="4"/>
      <c r="O193" s="4" t="s">
        <v>1274</v>
      </c>
      <c r="P193" s="4"/>
      <c r="Q193" s="4"/>
      <c r="R193" s="4" t="s">
        <v>1275</v>
      </c>
      <c r="S193" s="4" t="s">
        <v>48</v>
      </c>
      <c r="T193" s="4" t="s">
        <v>592</v>
      </c>
      <c r="U193" s="4"/>
      <c r="V193" s="4"/>
      <c r="W193" s="4" t="s">
        <v>139</v>
      </c>
      <c r="X193" s="4"/>
      <c r="Y193" s="4"/>
      <c r="Z193" s="4" t="s">
        <v>1276</v>
      </c>
      <c r="AA193" s="4" t="s">
        <v>53</v>
      </c>
      <c r="AB193" s="4" t="s">
        <v>52</v>
      </c>
      <c r="AC193" s="4" t="s">
        <v>53</v>
      </c>
      <c r="AD193" s="4" t="s">
        <v>53</v>
      </c>
      <c r="AE193" s="4" t="s">
        <v>172</v>
      </c>
      <c r="AF193" s="4" t="s">
        <v>52</v>
      </c>
      <c r="AG193" s="4" t="s">
        <v>52</v>
      </c>
      <c r="AH193" s="4" t="s">
        <v>53</v>
      </c>
      <c r="AI193" s="4" t="s">
        <v>53</v>
      </c>
    </row>
    <row r="194" customFormat="false" ht="23.85" hidden="false" customHeight="false" outlineLevel="0" collapsed="false">
      <c r="A194" s="2" t="n">
        <v>193</v>
      </c>
      <c r="B194" s="2" t="s">
        <v>35</v>
      </c>
      <c r="C194" s="2" t="s">
        <v>36</v>
      </c>
      <c r="D194" s="2" t="s">
        <v>37</v>
      </c>
      <c r="E194" s="2" t="s">
        <v>1277</v>
      </c>
      <c r="F194" s="2" t="s">
        <v>1278</v>
      </c>
      <c r="G194" s="2" t="s">
        <v>1279</v>
      </c>
      <c r="H194" s="2" t="s">
        <v>1280</v>
      </c>
      <c r="I194" s="2" t="s">
        <v>557</v>
      </c>
      <c r="J194" s="2"/>
      <c r="K194" s="3"/>
      <c r="L194" s="3"/>
      <c r="M194" s="2" t="s">
        <v>53</v>
      </c>
      <c r="N194" s="2"/>
      <c r="O194" s="2"/>
      <c r="P194" s="2"/>
      <c r="Q194" s="2"/>
      <c r="R194" s="2"/>
      <c r="S194" s="2"/>
      <c r="T194" s="2" t="s">
        <v>592</v>
      </c>
      <c r="U194" s="2"/>
      <c r="V194" s="2"/>
      <c r="W194" s="2" t="s">
        <v>1281</v>
      </c>
      <c r="X194" s="2"/>
      <c r="Y194" s="2"/>
      <c r="Z194" s="2" t="s">
        <v>201</v>
      </c>
      <c r="AA194" s="2" t="s">
        <v>53</v>
      </c>
      <c r="AB194" s="2" t="s">
        <v>53</v>
      </c>
      <c r="AC194" s="2" t="s">
        <v>53</v>
      </c>
      <c r="AD194" s="2" t="s">
        <v>53</v>
      </c>
      <c r="AE194" s="2" t="s">
        <v>53</v>
      </c>
      <c r="AF194" s="2" t="s">
        <v>53</v>
      </c>
      <c r="AG194" s="2" t="s">
        <v>52</v>
      </c>
      <c r="AH194" s="2" t="s">
        <v>53</v>
      </c>
      <c r="AI194" s="2" t="s">
        <v>53</v>
      </c>
    </row>
    <row r="195" customFormat="false" ht="23.85" hidden="false" customHeight="false" outlineLevel="0" collapsed="false">
      <c r="A195" s="4" t="n">
        <v>194</v>
      </c>
      <c r="B195" s="4" t="s">
        <v>35</v>
      </c>
      <c r="C195" s="4" t="s">
        <v>36</v>
      </c>
      <c r="D195" s="4" t="s">
        <v>37</v>
      </c>
      <c r="E195" s="4" t="s">
        <v>1282</v>
      </c>
      <c r="F195" s="4" t="s">
        <v>1283</v>
      </c>
      <c r="G195" s="4" t="s">
        <v>1284</v>
      </c>
      <c r="H195" s="4" t="s">
        <v>479</v>
      </c>
      <c r="I195" s="4" t="s">
        <v>1285</v>
      </c>
      <c r="J195" s="4"/>
      <c r="K195" s="5"/>
      <c r="L195" s="5"/>
      <c r="M195" s="4" t="s">
        <v>44</v>
      </c>
      <c r="N195" s="4"/>
      <c r="O195" s="4"/>
      <c r="P195" s="4" t="s">
        <v>539</v>
      </c>
      <c r="Q195" s="4" t="s">
        <v>124</v>
      </c>
      <c r="R195" s="4" t="s">
        <v>1286</v>
      </c>
      <c r="S195" s="4"/>
      <c r="T195" s="4"/>
      <c r="U195" s="4" t="s">
        <v>1100</v>
      </c>
      <c r="V195" s="4" t="s">
        <v>1287</v>
      </c>
      <c r="W195" s="4" t="s">
        <v>1288</v>
      </c>
      <c r="X195" s="4"/>
      <c r="Y195" s="4"/>
      <c r="Z195" s="4" t="s">
        <v>1289</v>
      </c>
      <c r="AA195" s="4" t="s">
        <v>53</v>
      </c>
      <c r="AB195" s="4" t="s">
        <v>53</v>
      </c>
      <c r="AC195" s="4" t="s">
        <v>52</v>
      </c>
      <c r="AD195" s="4" t="s">
        <v>52</v>
      </c>
      <c r="AE195" s="4" t="s">
        <v>172</v>
      </c>
      <c r="AF195" s="4" t="s">
        <v>53</v>
      </c>
      <c r="AG195" s="4" t="s">
        <v>53</v>
      </c>
      <c r="AH195" s="4" t="s">
        <v>52</v>
      </c>
      <c r="AI195" s="4" t="s">
        <v>172</v>
      </c>
    </row>
    <row r="196" customFormat="false" ht="23.85" hidden="false" customHeight="false" outlineLevel="0" collapsed="false">
      <c r="A196" s="2" t="n">
        <v>195</v>
      </c>
      <c r="B196" s="2" t="s">
        <v>35</v>
      </c>
      <c r="C196" s="2" t="s">
        <v>36</v>
      </c>
      <c r="D196" s="2" t="s">
        <v>37</v>
      </c>
      <c r="E196" s="2" t="s">
        <v>1290</v>
      </c>
      <c r="F196" s="2" t="s">
        <v>1278</v>
      </c>
      <c r="G196" s="2" t="s">
        <v>1291</v>
      </c>
      <c r="H196" s="2" t="s">
        <v>1280</v>
      </c>
      <c r="I196" s="2" t="s">
        <v>654</v>
      </c>
      <c r="J196" s="2"/>
      <c r="K196" s="3"/>
      <c r="L196" s="3"/>
      <c r="M196" s="2" t="s">
        <v>53</v>
      </c>
      <c r="N196" s="2"/>
      <c r="O196" s="2"/>
      <c r="P196" s="2"/>
      <c r="Q196" s="2"/>
      <c r="R196" s="2"/>
      <c r="S196" s="2" t="s">
        <v>48</v>
      </c>
      <c r="T196" s="2"/>
      <c r="U196" s="2"/>
      <c r="V196" s="2"/>
      <c r="W196" s="2" t="s">
        <v>1292</v>
      </c>
      <c r="X196" s="2"/>
      <c r="Y196" s="2"/>
      <c r="Z196" s="2" t="s">
        <v>477</v>
      </c>
      <c r="AA196" s="2" t="s">
        <v>53</v>
      </c>
      <c r="AB196" s="2" t="s">
        <v>53</v>
      </c>
      <c r="AC196" s="2" t="s">
        <v>53</v>
      </c>
      <c r="AD196" s="2" t="s">
        <v>53</v>
      </c>
      <c r="AE196" s="2" t="s">
        <v>53</v>
      </c>
      <c r="AF196" s="2" t="s">
        <v>52</v>
      </c>
      <c r="AG196" s="2" t="s">
        <v>53</v>
      </c>
      <c r="AH196" s="2" t="s">
        <v>53</v>
      </c>
      <c r="AI196" s="2" t="s">
        <v>53</v>
      </c>
    </row>
    <row r="197" customFormat="false" ht="23.85" hidden="false" customHeight="false" outlineLevel="0" collapsed="false">
      <c r="A197" s="4" t="n">
        <v>196</v>
      </c>
      <c r="B197" s="4" t="s">
        <v>35</v>
      </c>
      <c r="C197" s="4" t="s">
        <v>36</v>
      </c>
      <c r="D197" s="4" t="s">
        <v>37</v>
      </c>
      <c r="E197" s="4" t="s">
        <v>1293</v>
      </c>
      <c r="F197" s="4" t="s">
        <v>1294</v>
      </c>
      <c r="G197" s="4" t="s">
        <v>1295</v>
      </c>
      <c r="H197" s="4" t="s">
        <v>1296</v>
      </c>
      <c r="I197" s="4" t="s">
        <v>1297</v>
      </c>
      <c r="J197" s="4"/>
      <c r="K197" s="5"/>
      <c r="L197" s="5"/>
      <c r="M197" s="4" t="s">
        <v>53</v>
      </c>
      <c r="N197" s="4" t="s">
        <v>13</v>
      </c>
      <c r="O197" s="4" t="s">
        <v>1298</v>
      </c>
      <c r="P197" s="4"/>
      <c r="Q197" s="4" t="s">
        <v>124</v>
      </c>
      <c r="R197" s="4" t="s">
        <v>1299</v>
      </c>
      <c r="S197" s="4"/>
      <c r="T197" s="4"/>
      <c r="U197" s="4" t="s">
        <v>1300</v>
      </c>
      <c r="V197" s="4" t="s">
        <v>1301</v>
      </c>
      <c r="W197" s="4" t="s">
        <v>1121</v>
      </c>
      <c r="X197" s="4"/>
      <c r="Y197" s="4"/>
      <c r="Z197" s="4" t="s">
        <v>300</v>
      </c>
      <c r="AA197" s="4" t="s">
        <v>52</v>
      </c>
      <c r="AB197" s="4" t="s">
        <v>52</v>
      </c>
      <c r="AC197" s="4" t="s">
        <v>53</v>
      </c>
      <c r="AD197" s="4" t="s">
        <v>52</v>
      </c>
      <c r="AE197" s="4" t="s">
        <v>172</v>
      </c>
      <c r="AF197" s="4" t="s">
        <v>53</v>
      </c>
      <c r="AG197" s="4" t="s">
        <v>53</v>
      </c>
      <c r="AH197" s="4" t="s">
        <v>52</v>
      </c>
      <c r="AI197" s="4" t="s">
        <v>172</v>
      </c>
    </row>
    <row r="198" customFormat="false" ht="23.85" hidden="false" customHeight="false" outlineLevel="0" collapsed="false">
      <c r="A198" s="2" t="n">
        <v>197</v>
      </c>
      <c r="B198" s="2" t="s">
        <v>35</v>
      </c>
      <c r="C198" s="2" t="s">
        <v>36</v>
      </c>
      <c r="D198" s="2" t="s">
        <v>37</v>
      </c>
      <c r="E198" s="2" t="s">
        <v>1302</v>
      </c>
      <c r="F198" s="2" t="s">
        <v>1303</v>
      </c>
      <c r="G198" s="2" t="s">
        <v>1304</v>
      </c>
      <c r="H198" s="2" t="s">
        <v>41</v>
      </c>
      <c r="I198" s="2" t="s">
        <v>1305</v>
      </c>
      <c r="J198" s="2"/>
      <c r="K198" s="3"/>
      <c r="L198" s="3"/>
      <c r="M198" s="2" t="s">
        <v>58</v>
      </c>
      <c r="N198" s="2"/>
      <c r="O198" s="2" t="s">
        <v>1306</v>
      </c>
      <c r="P198" s="2" t="s">
        <v>1307</v>
      </c>
      <c r="Q198" s="2" t="s">
        <v>83</v>
      </c>
      <c r="R198" s="2" t="s">
        <v>1308</v>
      </c>
      <c r="S198" s="2" t="s">
        <v>1309</v>
      </c>
      <c r="T198" s="2" t="s">
        <v>592</v>
      </c>
      <c r="U198" s="2" t="s">
        <v>1100</v>
      </c>
      <c r="V198" s="2"/>
      <c r="W198" s="2" t="s">
        <v>1310</v>
      </c>
      <c r="X198" s="2"/>
      <c r="Y198" s="2"/>
      <c r="Z198" s="2" t="s">
        <v>816</v>
      </c>
      <c r="AA198" s="2" t="s">
        <v>53</v>
      </c>
      <c r="AB198" s="2" t="s">
        <v>52</v>
      </c>
      <c r="AC198" s="2" t="s">
        <v>52</v>
      </c>
      <c r="AD198" s="2" t="s">
        <v>52</v>
      </c>
      <c r="AE198" s="2" t="s">
        <v>172</v>
      </c>
      <c r="AF198" s="2" t="s">
        <v>52</v>
      </c>
      <c r="AG198" s="2" t="s">
        <v>52</v>
      </c>
      <c r="AH198" s="2" t="s">
        <v>52</v>
      </c>
      <c r="AI198" s="2" t="s">
        <v>53</v>
      </c>
    </row>
    <row r="199" customFormat="false" ht="23.85" hidden="false" customHeight="false" outlineLevel="0" collapsed="false">
      <c r="A199" s="4" t="n">
        <v>198</v>
      </c>
      <c r="B199" s="4" t="s">
        <v>35</v>
      </c>
      <c r="C199" s="4" t="s">
        <v>36</v>
      </c>
      <c r="D199" s="4" t="s">
        <v>37</v>
      </c>
      <c r="E199" s="4" t="s">
        <v>1311</v>
      </c>
      <c r="F199" s="4" t="s">
        <v>1312</v>
      </c>
      <c r="G199" s="4" t="s">
        <v>1304</v>
      </c>
      <c r="H199" s="4" t="s">
        <v>186</v>
      </c>
      <c r="I199" s="4" t="s">
        <v>1313</v>
      </c>
      <c r="J199" s="4"/>
      <c r="K199" s="5"/>
      <c r="L199" s="5"/>
      <c r="M199" s="4" t="s">
        <v>53</v>
      </c>
      <c r="N199" s="4"/>
      <c r="O199" s="4" t="s">
        <v>1314</v>
      </c>
      <c r="P199" s="4" t="s">
        <v>1315</v>
      </c>
      <c r="Q199" s="4" t="s">
        <v>1316</v>
      </c>
      <c r="R199" s="4" t="s">
        <v>1317</v>
      </c>
      <c r="S199" s="4"/>
      <c r="T199" s="4" t="s">
        <v>592</v>
      </c>
      <c r="U199" s="4"/>
      <c r="V199" s="4"/>
      <c r="W199" s="4" t="s">
        <v>1318</v>
      </c>
      <c r="X199" s="4"/>
      <c r="Y199" s="4"/>
      <c r="Z199" s="4" t="s">
        <v>764</v>
      </c>
      <c r="AA199" s="4" t="s">
        <v>53</v>
      </c>
      <c r="AB199" s="4" t="s">
        <v>52</v>
      </c>
      <c r="AC199" s="4" t="s">
        <v>52</v>
      </c>
      <c r="AD199" s="4" t="s">
        <v>172</v>
      </c>
      <c r="AE199" s="4" t="s">
        <v>52</v>
      </c>
      <c r="AF199" s="4" t="s">
        <v>53</v>
      </c>
      <c r="AG199" s="4" t="s">
        <v>52</v>
      </c>
      <c r="AH199" s="4" t="s">
        <v>53</v>
      </c>
      <c r="AI199" s="4" t="s">
        <v>53</v>
      </c>
    </row>
    <row r="200" customFormat="false" ht="35.05" hidden="false" customHeight="false" outlineLevel="0" collapsed="false">
      <c r="A200" s="2" t="n">
        <v>199</v>
      </c>
      <c r="B200" s="2" t="s">
        <v>35</v>
      </c>
      <c r="C200" s="2" t="s">
        <v>36</v>
      </c>
      <c r="D200" s="2" t="s">
        <v>37</v>
      </c>
      <c r="E200" s="2" t="s">
        <v>1319</v>
      </c>
      <c r="F200" s="2" t="s">
        <v>1320</v>
      </c>
      <c r="G200" s="2" t="s">
        <v>1304</v>
      </c>
      <c r="H200" s="2" t="s">
        <v>479</v>
      </c>
      <c r="I200" s="2" t="s">
        <v>1321</v>
      </c>
      <c r="J200" s="2"/>
      <c r="K200" s="3"/>
      <c r="L200" s="3"/>
      <c r="M200" s="2" t="s">
        <v>44</v>
      </c>
      <c r="N200" s="2"/>
      <c r="O200" s="2" t="s">
        <v>1322</v>
      </c>
      <c r="P200" s="2" t="s">
        <v>1307</v>
      </c>
      <c r="Q200" s="2"/>
      <c r="R200" s="2" t="s">
        <v>1323</v>
      </c>
      <c r="S200" s="2" t="s">
        <v>1324</v>
      </c>
      <c r="T200" s="2" t="s">
        <v>592</v>
      </c>
      <c r="U200" s="2"/>
      <c r="V200" s="2"/>
      <c r="W200" s="2" t="s">
        <v>1325</v>
      </c>
      <c r="X200" s="2"/>
      <c r="Y200" s="2"/>
      <c r="Z200" s="2" t="s">
        <v>1326</v>
      </c>
      <c r="AA200" s="2" t="s">
        <v>53</v>
      </c>
      <c r="AB200" s="2" t="s">
        <v>52</v>
      </c>
      <c r="AC200" s="2" t="s">
        <v>52</v>
      </c>
      <c r="AD200" s="2" t="s">
        <v>53</v>
      </c>
      <c r="AE200" s="2" t="s">
        <v>172</v>
      </c>
      <c r="AF200" s="2" t="s">
        <v>52</v>
      </c>
      <c r="AG200" s="2" t="s">
        <v>52</v>
      </c>
      <c r="AH200" s="2" t="s">
        <v>53</v>
      </c>
      <c r="AI200" s="2" t="s">
        <v>53</v>
      </c>
    </row>
    <row r="201" customFormat="false" ht="23.85" hidden="false" customHeight="false" outlineLevel="0" collapsed="false">
      <c r="A201" s="4" t="n">
        <v>200</v>
      </c>
      <c r="B201" s="4" t="s">
        <v>35</v>
      </c>
      <c r="C201" s="4" t="s">
        <v>36</v>
      </c>
      <c r="D201" s="4" t="s">
        <v>37</v>
      </c>
      <c r="E201" s="4" t="s">
        <v>1327</v>
      </c>
      <c r="F201" s="4"/>
      <c r="G201" s="4" t="s">
        <v>1328</v>
      </c>
      <c r="H201" s="4" t="s">
        <v>479</v>
      </c>
      <c r="I201" s="4" t="s">
        <v>1329</v>
      </c>
      <c r="J201" s="4"/>
      <c r="K201" s="5"/>
      <c r="L201" s="5"/>
      <c r="M201" s="4" t="s">
        <v>44</v>
      </c>
      <c r="N201" s="4" t="s">
        <v>13</v>
      </c>
      <c r="O201" s="4"/>
      <c r="P201" s="4" t="s">
        <v>1330</v>
      </c>
      <c r="Q201" s="4" t="s">
        <v>1331</v>
      </c>
      <c r="R201" s="4" t="s">
        <v>1332</v>
      </c>
      <c r="S201" s="4" t="s">
        <v>1333</v>
      </c>
      <c r="T201" s="4" t="s">
        <v>592</v>
      </c>
      <c r="U201" s="4" t="s">
        <v>1334</v>
      </c>
      <c r="V201" s="4"/>
      <c r="W201" s="4" t="s">
        <v>1335</v>
      </c>
      <c r="X201" s="4"/>
      <c r="Y201" s="4"/>
      <c r="Z201" s="4" t="s">
        <v>378</v>
      </c>
      <c r="AA201" s="4" t="s">
        <v>52</v>
      </c>
      <c r="AB201" s="4" t="s">
        <v>53</v>
      </c>
      <c r="AC201" s="4" t="s">
        <v>52</v>
      </c>
      <c r="AD201" s="4" t="s">
        <v>52</v>
      </c>
      <c r="AE201" s="4" t="s">
        <v>52</v>
      </c>
      <c r="AF201" s="4" t="s">
        <v>52</v>
      </c>
      <c r="AG201" s="4" t="s">
        <v>52</v>
      </c>
      <c r="AH201" s="4" t="s">
        <v>172</v>
      </c>
      <c r="AI201" s="4" t="s">
        <v>53</v>
      </c>
    </row>
    <row r="202" customFormat="false" ht="35.05" hidden="false" customHeight="false" outlineLevel="0" collapsed="false">
      <c r="A202" s="2" t="n">
        <v>201</v>
      </c>
      <c r="B202" s="2" t="s">
        <v>35</v>
      </c>
      <c r="C202" s="2" t="s">
        <v>36</v>
      </c>
      <c r="D202" s="2" t="s">
        <v>37</v>
      </c>
      <c r="E202" s="2" t="s">
        <v>1336</v>
      </c>
      <c r="F202" s="2" t="s">
        <v>1320</v>
      </c>
      <c r="G202" s="2" t="s">
        <v>1337</v>
      </c>
      <c r="H202" s="2" t="s">
        <v>479</v>
      </c>
      <c r="I202" s="2" t="s">
        <v>1338</v>
      </c>
      <c r="J202" s="2"/>
      <c r="K202" s="3"/>
      <c r="L202" s="3"/>
      <c r="M202" s="2" t="s">
        <v>44</v>
      </c>
      <c r="N202" s="2"/>
      <c r="O202" s="2" t="s">
        <v>1339</v>
      </c>
      <c r="P202" s="2" t="s">
        <v>1307</v>
      </c>
      <c r="Q202" s="2"/>
      <c r="R202" s="2" t="s">
        <v>1340</v>
      </c>
      <c r="S202" s="2"/>
      <c r="T202" s="2"/>
      <c r="U202" s="2"/>
      <c r="V202" s="2"/>
      <c r="W202" s="2" t="s">
        <v>1341</v>
      </c>
      <c r="X202" s="2"/>
      <c r="Y202" s="2"/>
      <c r="Z202" s="2" t="s">
        <v>280</v>
      </c>
      <c r="AA202" s="2" t="s">
        <v>53</v>
      </c>
      <c r="AB202" s="2" t="s">
        <v>52</v>
      </c>
      <c r="AC202" s="2" t="s">
        <v>52</v>
      </c>
      <c r="AD202" s="2" t="s">
        <v>53</v>
      </c>
      <c r="AE202" s="2" t="s">
        <v>52</v>
      </c>
      <c r="AF202" s="2" t="s">
        <v>53</v>
      </c>
      <c r="AG202" s="2" t="s">
        <v>53</v>
      </c>
      <c r="AH202" s="2" t="s">
        <v>53</v>
      </c>
      <c r="AI202" s="2" t="s">
        <v>53</v>
      </c>
    </row>
    <row r="203" customFormat="false" ht="23.85" hidden="false" customHeight="false" outlineLevel="0" collapsed="false">
      <c r="A203" s="4" t="n">
        <v>202</v>
      </c>
      <c r="B203" s="4" t="s">
        <v>35</v>
      </c>
      <c r="C203" s="4" t="s">
        <v>36</v>
      </c>
      <c r="D203" s="4" t="s">
        <v>37</v>
      </c>
      <c r="E203" s="4" t="s">
        <v>1342</v>
      </c>
      <c r="F203" s="4" t="s">
        <v>194</v>
      </c>
      <c r="G203" s="4" t="s">
        <v>1343</v>
      </c>
      <c r="H203" s="4" t="s">
        <v>1344</v>
      </c>
      <c r="I203" s="4" t="s">
        <v>530</v>
      </c>
      <c r="J203" s="4" t="s">
        <v>1345</v>
      </c>
      <c r="K203" s="5" t="n">
        <v>2749</v>
      </c>
      <c r="L203" s="5" t="n">
        <v>2749</v>
      </c>
      <c r="M203" s="4" t="s">
        <v>53</v>
      </c>
      <c r="N203" s="4"/>
      <c r="O203" s="4"/>
      <c r="P203" s="4"/>
      <c r="Q203" s="4" t="s">
        <v>1346</v>
      </c>
      <c r="R203" s="4" t="s">
        <v>1347</v>
      </c>
      <c r="S203" s="4"/>
      <c r="T203" s="4" t="s">
        <v>592</v>
      </c>
      <c r="U203" s="4" t="s">
        <v>882</v>
      </c>
      <c r="V203" s="4"/>
      <c r="W203" s="4" t="s">
        <v>1121</v>
      </c>
      <c r="X203" s="4"/>
      <c r="Y203" s="4"/>
      <c r="Z203" s="4" t="s">
        <v>128</v>
      </c>
      <c r="AA203" s="4" t="s">
        <v>53</v>
      </c>
      <c r="AB203" s="4" t="s">
        <v>53</v>
      </c>
      <c r="AC203" s="4" t="s">
        <v>53</v>
      </c>
      <c r="AD203" s="4" t="s">
        <v>172</v>
      </c>
      <c r="AE203" s="4" t="s">
        <v>52</v>
      </c>
      <c r="AF203" s="4" t="s">
        <v>53</v>
      </c>
      <c r="AG203" s="4" t="s">
        <v>52</v>
      </c>
      <c r="AH203" s="4" t="s">
        <v>52</v>
      </c>
      <c r="AI203" s="4" t="s">
        <v>53</v>
      </c>
    </row>
    <row r="204" customFormat="false" ht="35.05" hidden="false" customHeight="false" outlineLevel="0" collapsed="false">
      <c r="A204" s="2" t="n">
        <v>203</v>
      </c>
      <c r="B204" s="2" t="s">
        <v>35</v>
      </c>
      <c r="C204" s="2" t="s">
        <v>36</v>
      </c>
      <c r="D204" s="2" t="s">
        <v>37</v>
      </c>
      <c r="E204" s="2" t="s">
        <v>1348</v>
      </c>
      <c r="F204" s="2" t="s">
        <v>1349</v>
      </c>
      <c r="G204" s="2" t="s">
        <v>1350</v>
      </c>
      <c r="H204" s="2" t="s">
        <v>776</v>
      </c>
      <c r="I204" s="2" t="s">
        <v>1351</v>
      </c>
      <c r="J204" s="2" t="s">
        <v>1352</v>
      </c>
      <c r="K204" s="3" t="n">
        <v>515</v>
      </c>
      <c r="L204" s="3" t="n">
        <v>578</v>
      </c>
      <c r="M204" s="2" t="s">
        <v>44</v>
      </c>
      <c r="N204" s="2"/>
      <c r="O204" s="2" t="s">
        <v>1353</v>
      </c>
      <c r="P204" s="2" t="s">
        <v>1354</v>
      </c>
      <c r="Q204" s="2"/>
      <c r="R204" s="2" t="s">
        <v>1355</v>
      </c>
      <c r="S204" s="2" t="s">
        <v>1356</v>
      </c>
      <c r="T204" s="2" t="s">
        <v>592</v>
      </c>
      <c r="U204" s="2" t="s">
        <v>1357</v>
      </c>
      <c r="V204" s="2"/>
      <c r="W204" s="2" t="s">
        <v>493</v>
      </c>
      <c r="X204" s="2"/>
      <c r="Y204" s="2"/>
      <c r="Z204" s="2" t="s">
        <v>729</v>
      </c>
      <c r="AA204" s="2" t="s">
        <v>53</v>
      </c>
      <c r="AB204" s="2" t="s">
        <v>52</v>
      </c>
      <c r="AC204" s="2" t="s">
        <v>172</v>
      </c>
      <c r="AD204" s="2" t="s">
        <v>53</v>
      </c>
      <c r="AE204" s="2" t="s">
        <v>52</v>
      </c>
      <c r="AF204" s="2" t="s">
        <v>52</v>
      </c>
      <c r="AG204" s="2" t="s">
        <v>52</v>
      </c>
      <c r="AH204" s="2" t="s">
        <v>52</v>
      </c>
      <c r="AI204" s="2" t="s">
        <v>53</v>
      </c>
    </row>
    <row r="205" customFormat="false" ht="23.85" hidden="false" customHeight="false" outlineLevel="0" collapsed="false">
      <c r="A205" s="4" t="n">
        <v>204</v>
      </c>
      <c r="B205" s="4" t="s">
        <v>35</v>
      </c>
      <c r="C205" s="4" t="s">
        <v>36</v>
      </c>
      <c r="D205" s="4" t="s">
        <v>37</v>
      </c>
      <c r="E205" s="4" t="s">
        <v>1358</v>
      </c>
      <c r="F205" s="4" t="s">
        <v>463</v>
      </c>
      <c r="G205" s="4" t="s">
        <v>1350</v>
      </c>
      <c r="H205" s="4" t="s">
        <v>1280</v>
      </c>
      <c r="I205" s="4" t="s">
        <v>1359</v>
      </c>
      <c r="J205" s="4"/>
      <c r="K205" s="5"/>
      <c r="L205" s="5"/>
      <c r="M205" s="4" t="s">
        <v>53</v>
      </c>
      <c r="N205" s="4" t="s">
        <v>13</v>
      </c>
      <c r="O205" s="4" t="s">
        <v>1339</v>
      </c>
      <c r="P205" s="4" t="s">
        <v>1360</v>
      </c>
      <c r="Q205" s="4"/>
      <c r="R205" s="4" t="s">
        <v>1361</v>
      </c>
      <c r="S205" s="4" t="s">
        <v>48</v>
      </c>
      <c r="T205" s="4" t="s">
        <v>592</v>
      </c>
      <c r="U205" s="4"/>
      <c r="V205" s="4"/>
      <c r="W205" s="4" t="s">
        <v>139</v>
      </c>
      <c r="X205" s="4"/>
      <c r="Y205" s="4"/>
      <c r="Z205" s="4" t="s">
        <v>694</v>
      </c>
      <c r="AA205" s="4" t="s">
        <v>52</v>
      </c>
      <c r="AB205" s="4" t="s">
        <v>52</v>
      </c>
      <c r="AC205" s="4" t="s">
        <v>172</v>
      </c>
      <c r="AD205" s="4" t="s">
        <v>53</v>
      </c>
      <c r="AE205" s="4" t="s">
        <v>52</v>
      </c>
      <c r="AF205" s="4" t="s">
        <v>52</v>
      </c>
      <c r="AG205" s="4" t="s">
        <v>52</v>
      </c>
      <c r="AH205" s="4" t="s">
        <v>53</v>
      </c>
      <c r="AI205" s="4" t="s">
        <v>53</v>
      </c>
    </row>
    <row r="206" customFormat="false" ht="23.85" hidden="false" customHeight="false" outlineLevel="0" collapsed="false">
      <c r="A206" s="2" t="n">
        <v>205</v>
      </c>
      <c r="B206" s="2" t="s">
        <v>35</v>
      </c>
      <c r="C206" s="2" t="s">
        <v>36</v>
      </c>
      <c r="D206" s="2" t="s">
        <v>37</v>
      </c>
      <c r="E206" s="2" t="s">
        <v>1362</v>
      </c>
      <c r="F206" s="2" t="s">
        <v>194</v>
      </c>
      <c r="G206" s="2" t="s">
        <v>1350</v>
      </c>
      <c r="H206" s="2" t="s">
        <v>1344</v>
      </c>
      <c r="I206" s="2" t="s">
        <v>197</v>
      </c>
      <c r="J206" s="2" t="s">
        <v>1363</v>
      </c>
      <c r="K206" s="3" t="n">
        <v>2409</v>
      </c>
      <c r="L206" s="3" t="n">
        <v>2409</v>
      </c>
      <c r="M206" s="2" t="s">
        <v>53</v>
      </c>
      <c r="N206" s="2"/>
      <c r="O206" s="2"/>
      <c r="P206" s="2"/>
      <c r="Q206" s="2" t="s">
        <v>1346</v>
      </c>
      <c r="R206" s="2" t="s">
        <v>1347</v>
      </c>
      <c r="S206" s="2"/>
      <c r="T206" s="2" t="s">
        <v>592</v>
      </c>
      <c r="U206" s="2" t="s">
        <v>882</v>
      </c>
      <c r="V206" s="2"/>
      <c r="W206" s="2" t="s">
        <v>1121</v>
      </c>
      <c r="X206" s="2"/>
      <c r="Y206" s="2"/>
      <c r="Z206" s="2" t="s">
        <v>694</v>
      </c>
      <c r="AA206" s="2" t="s">
        <v>53</v>
      </c>
      <c r="AB206" s="2" t="s">
        <v>53</v>
      </c>
      <c r="AC206" s="2" t="s">
        <v>53</v>
      </c>
      <c r="AD206" s="2" t="s">
        <v>172</v>
      </c>
      <c r="AE206" s="2" t="s">
        <v>52</v>
      </c>
      <c r="AF206" s="2" t="s">
        <v>53</v>
      </c>
      <c r="AG206" s="2" t="s">
        <v>52</v>
      </c>
      <c r="AH206" s="2" t="s">
        <v>52</v>
      </c>
      <c r="AI206" s="2" t="s">
        <v>53</v>
      </c>
    </row>
    <row r="207" customFormat="false" ht="46.25" hidden="false" customHeight="false" outlineLevel="0" collapsed="false">
      <c r="A207" s="4" t="n">
        <v>206</v>
      </c>
      <c r="B207" s="4" t="s">
        <v>35</v>
      </c>
      <c r="C207" s="4" t="s">
        <v>36</v>
      </c>
      <c r="D207" s="4" t="s">
        <v>37</v>
      </c>
      <c r="E207" s="4" t="s">
        <v>1364</v>
      </c>
      <c r="F207" s="4" t="s">
        <v>487</v>
      </c>
      <c r="G207" s="4" t="s">
        <v>1350</v>
      </c>
      <c r="H207" s="4" t="s">
        <v>41</v>
      </c>
      <c r="I207" s="4" t="s">
        <v>1365</v>
      </c>
      <c r="J207" s="4"/>
      <c r="K207" s="5"/>
      <c r="L207" s="5"/>
      <c r="M207" s="4" t="s">
        <v>58</v>
      </c>
      <c r="N207" s="4"/>
      <c r="O207" s="4"/>
      <c r="P207" s="4"/>
      <c r="Q207" s="4" t="s">
        <v>1366</v>
      </c>
      <c r="R207" s="4" t="s">
        <v>1367</v>
      </c>
      <c r="S207" s="4" t="s">
        <v>1368</v>
      </c>
      <c r="T207" s="4" t="s">
        <v>592</v>
      </c>
      <c r="U207" s="4"/>
      <c r="V207" s="4" t="s">
        <v>492</v>
      </c>
      <c r="W207" s="4" t="s">
        <v>1369</v>
      </c>
      <c r="X207" s="4"/>
      <c r="Y207" s="4"/>
      <c r="Z207" s="4" t="s">
        <v>1370</v>
      </c>
      <c r="AA207" s="4" t="s">
        <v>53</v>
      </c>
      <c r="AB207" s="4" t="s">
        <v>53</v>
      </c>
      <c r="AC207" s="4" t="s">
        <v>53</v>
      </c>
      <c r="AD207" s="4" t="s">
        <v>52</v>
      </c>
      <c r="AE207" s="4" t="s">
        <v>172</v>
      </c>
      <c r="AF207" s="4" t="s">
        <v>52</v>
      </c>
      <c r="AG207" s="4" t="s">
        <v>52</v>
      </c>
      <c r="AH207" s="4" t="s">
        <v>53</v>
      </c>
      <c r="AI207" s="4" t="s">
        <v>52</v>
      </c>
    </row>
    <row r="208" customFormat="false" ht="23.85" hidden="false" customHeight="false" outlineLevel="0" collapsed="false">
      <c r="A208" s="2" t="n">
        <v>207</v>
      </c>
      <c r="B208" s="2" t="s">
        <v>35</v>
      </c>
      <c r="C208" s="2" t="s">
        <v>36</v>
      </c>
      <c r="D208" s="2" t="s">
        <v>37</v>
      </c>
      <c r="E208" s="2" t="s">
        <v>1371</v>
      </c>
      <c r="F208" s="2" t="s">
        <v>194</v>
      </c>
      <c r="G208" s="2" t="s">
        <v>1350</v>
      </c>
      <c r="H208" s="2" t="s">
        <v>1372</v>
      </c>
      <c r="I208" s="2" t="s">
        <v>1373</v>
      </c>
      <c r="J208" s="2"/>
      <c r="K208" s="3"/>
      <c r="L208" s="3"/>
      <c r="M208" s="2" t="s">
        <v>53</v>
      </c>
      <c r="N208" s="2"/>
      <c r="O208" s="2"/>
      <c r="P208" s="2" t="s">
        <v>1374</v>
      </c>
      <c r="Q208" s="2" t="s">
        <v>1375</v>
      </c>
      <c r="R208" s="2" t="s">
        <v>1376</v>
      </c>
      <c r="S208" s="2"/>
      <c r="T208" s="2" t="s">
        <v>592</v>
      </c>
      <c r="U208" s="2"/>
      <c r="V208" s="2"/>
      <c r="W208" s="2" t="s">
        <v>493</v>
      </c>
      <c r="X208" s="2"/>
      <c r="Y208" s="2"/>
      <c r="Z208" s="2" t="s">
        <v>1377</v>
      </c>
      <c r="AA208" s="2" t="s">
        <v>53</v>
      </c>
      <c r="AB208" s="2" t="s">
        <v>53</v>
      </c>
      <c r="AC208" s="2" t="s">
        <v>172</v>
      </c>
      <c r="AD208" s="2" t="s">
        <v>172</v>
      </c>
      <c r="AE208" s="2" t="s">
        <v>172</v>
      </c>
      <c r="AF208" s="2" t="s">
        <v>53</v>
      </c>
      <c r="AG208" s="2" t="s">
        <v>52</v>
      </c>
      <c r="AH208" s="2" t="s">
        <v>53</v>
      </c>
      <c r="AI208" s="2" t="s">
        <v>53</v>
      </c>
    </row>
    <row r="209" customFormat="false" ht="23.85" hidden="false" customHeight="false" outlineLevel="0" collapsed="false">
      <c r="A209" s="4" t="n">
        <v>208</v>
      </c>
      <c r="B209" s="4" t="s">
        <v>35</v>
      </c>
      <c r="C209" s="4" t="s">
        <v>36</v>
      </c>
      <c r="D209" s="4" t="s">
        <v>37</v>
      </c>
      <c r="E209" s="4" t="s">
        <v>1378</v>
      </c>
      <c r="F209" s="4" t="s">
        <v>1379</v>
      </c>
      <c r="G209" s="4" t="s">
        <v>1350</v>
      </c>
      <c r="H209" s="4" t="s">
        <v>479</v>
      </c>
      <c r="I209" s="4" t="s">
        <v>1380</v>
      </c>
      <c r="J209" s="4" t="s">
        <v>1381</v>
      </c>
      <c r="K209" s="5" t="n">
        <v>1200</v>
      </c>
      <c r="L209" s="5" t="n">
        <v>1200</v>
      </c>
      <c r="M209" s="4" t="s">
        <v>44</v>
      </c>
      <c r="N209" s="4"/>
      <c r="O209" s="4" t="s">
        <v>1339</v>
      </c>
      <c r="P209" s="4" t="s">
        <v>1382</v>
      </c>
      <c r="Q209" s="4"/>
      <c r="R209" s="4" t="s">
        <v>1376</v>
      </c>
      <c r="S209" s="4" t="s">
        <v>159</v>
      </c>
      <c r="T209" s="4" t="s">
        <v>592</v>
      </c>
      <c r="U209" s="4"/>
      <c r="V209" s="4"/>
      <c r="W209" s="4" t="s">
        <v>1383</v>
      </c>
      <c r="X209" s="4"/>
      <c r="Y209" s="4"/>
      <c r="Z209" s="4" t="s">
        <v>506</v>
      </c>
      <c r="AA209" s="4" t="s">
        <v>53</v>
      </c>
      <c r="AB209" s="4" t="s">
        <v>52</v>
      </c>
      <c r="AC209" s="4" t="s">
        <v>172</v>
      </c>
      <c r="AD209" s="4" t="s">
        <v>53</v>
      </c>
      <c r="AE209" s="4" t="s">
        <v>172</v>
      </c>
      <c r="AF209" s="4" t="s">
        <v>52</v>
      </c>
      <c r="AG209" s="4" t="s">
        <v>52</v>
      </c>
      <c r="AH209" s="4" t="s">
        <v>53</v>
      </c>
      <c r="AI209" s="4" t="s">
        <v>53</v>
      </c>
    </row>
    <row r="210" customFormat="false" ht="23.85" hidden="false" customHeight="false" outlineLevel="0" collapsed="false">
      <c r="A210" s="2" t="n">
        <v>209</v>
      </c>
      <c r="B210" s="2" t="s">
        <v>35</v>
      </c>
      <c r="C210" s="2" t="s">
        <v>36</v>
      </c>
      <c r="D210" s="2" t="s">
        <v>37</v>
      </c>
      <c r="E210" s="2" t="s">
        <v>1384</v>
      </c>
      <c r="F210" s="2" t="s">
        <v>1385</v>
      </c>
      <c r="G210" s="2" t="s">
        <v>1350</v>
      </c>
      <c r="H210" s="2" t="s">
        <v>479</v>
      </c>
      <c r="I210" s="2" t="s">
        <v>1386</v>
      </c>
      <c r="J210" s="2"/>
      <c r="K210" s="3"/>
      <c r="L210" s="3"/>
      <c r="M210" s="2" t="s">
        <v>44</v>
      </c>
      <c r="N210" s="2"/>
      <c r="O210" s="2"/>
      <c r="P210" s="2"/>
      <c r="Q210" s="2"/>
      <c r="R210" s="2" t="s">
        <v>1387</v>
      </c>
      <c r="S210" s="2"/>
      <c r="T210" s="2" t="s">
        <v>592</v>
      </c>
      <c r="U210" s="2" t="s">
        <v>1388</v>
      </c>
      <c r="V210" s="2"/>
      <c r="W210" s="2" t="s">
        <v>1389</v>
      </c>
      <c r="X210" s="2"/>
      <c r="Y210" s="2"/>
      <c r="Z210" s="2" t="s">
        <v>1390</v>
      </c>
      <c r="AA210" s="2" t="s">
        <v>53</v>
      </c>
      <c r="AB210" s="2" t="s">
        <v>53</v>
      </c>
      <c r="AC210" s="2" t="s">
        <v>53</v>
      </c>
      <c r="AD210" s="2" t="s">
        <v>53</v>
      </c>
      <c r="AE210" s="2" t="s">
        <v>52</v>
      </c>
      <c r="AF210" s="2" t="s">
        <v>53</v>
      </c>
      <c r="AG210" s="2" t="s">
        <v>52</v>
      </c>
      <c r="AH210" s="2" t="s">
        <v>52</v>
      </c>
      <c r="AI210" s="2" t="s">
        <v>53</v>
      </c>
    </row>
    <row r="211" customFormat="false" ht="23.85" hidden="false" customHeight="false" outlineLevel="0" collapsed="false">
      <c r="A211" s="4" t="n">
        <v>210</v>
      </c>
      <c r="B211" s="4" t="s">
        <v>35</v>
      </c>
      <c r="C211" s="4" t="s">
        <v>36</v>
      </c>
      <c r="D211" s="4" t="s">
        <v>37</v>
      </c>
      <c r="E211" s="4" t="s">
        <v>1391</v>
      </c>
      <c r="F211" s="4" t="s">
        <v>194</v>
      </c>
      <c r="G211" s="4" t="s">
        <v>1392</v>
      </c>
      <c r="H211" s="4" t="s">
        <v>1393</v>
      </c>
      <c r="I211" s="4" t="s">
        <v>913</v>
      </c>
      <c r="J211" s="4" t="s">
        <v>1394</v>
      </c>
      <c r="K211" s="5" t="n">
        <v>2019</v>
      </c>
      <c r="L211" s="5" t="n">
        <v>2019</v>
      </c>
      <c r="M211" s="4" t="s">
        <v>53</v>
      </c>
      <c r="N211" s="4"/>
      <c r="O211" s="4"/>
      <c r="P211" s="4" t="s">
        <v>1374</v>
      </c>
      <c r="Q211" s="4" t="s">
        <v>1395</v>
      </c>
      <c r="R211" s="4" t="s">
        <v>1396</v>
      </c>
      <c r="S211" s="4"/>
      <c r="T211" s="4" t="s">
        <v>592</v>
      </c>
      <c r="U211" s="4" t="s">
        <v>882</v>
      </c>
      <c r="V211" s="4"/>
      <c r="W211" s="4" t="s">
        <v>1397</v>
      </c>
      <c r="X211" s="4"/>
      <c r="Y211" s="4"/>
      <c r="Z211" s="4" t="s">
        <v>1398</v>
      </c>
      <c r="AA211" s="4" t="s">
        <v>53</v>
      </c>
      <c r="AB211" s="4" t="s">
        <v>53</v>
      </c>
      <c r="AC211" s="4" t="s">
        <v>172</v>
      </c>
      <c r="AD211" s="4" t="s">
        <v>172</v>
      </c>
      <c r="AE211" s="4" t="s">
        <v>172</v>
      </c>
      <c r="AF211" s="4" t="s">
        <v>53</v>
      </c>
      <c r="AG211" s="4" t="s">
        <v>52</v>
      </c>
      <c r="AH211" s="4" t="s">
        <v>52</v>
      </c>
      <c r="AI211" s="4" t="s">
        <v>53</v>
      </c>
    </row>
    <row r="212" customFormat="false" ht="23.85" hidden="false" customHeight="false" outlineLevel="0" collapsed="false">
      <c r="A212" s="2" t="n">
        <v>211</v>
      </c>
      <c r="B212" s="2" t="s">
        <v>35</v>
      </c>
      <c r="C212" s="2" t="s">
        <v>36</v>
      </c>
      <c r="D212" s="2" t="s">
        <v>37</v>
      </c>
      <c r="E212" s="2" t="s">
        <v>1399</v>
      </c>
      <c r="F212" s="2" t="s">
        <v>1400</v>
      </c>
      <c r="G212" s="2" t="s">
        <v>1401</v>
      </c>
      <c r="H212" s="2" t="s">
        <v>1130</v>
      </c>
      <c r="I212" s="2" t="s">
        <v>654</v>
      </c>
      <c r="J212" s="2"/>
      <c r="K212" s="3"/>
      <c r="L212" s="3"/>
      <c r="M212" s="2" t="s">
        <v>53</v>
      </c>
      <c r="N212" s="2"/>
      <c r="O212" s="2"/>
      <c r="P212" s="2"/>
      <c r="Q212" s="2"/>
      <c r="R212" s="2"/>
      <c r="S212" s="2"/>
      <c r="T212" s="2"/>
      <c r="U212" s="2"/>
      <c r="V212" s="2"/>
      <c r="W212" s="2"/>
      <c r="X212" s="2" t="s">
        <v>583</v>
      </c>
      <c r="Y212" s="2"/>
      <c r="Z212" s="2" t="s">
        <v>327</v>
      </c>
      <c r="AA212" s="2" t="s">
        <v>53</v>
      </c>
      <c r="AB212" s="2" t="s">
        <v>53</v>
      </c>
      <c r="AC212" s="2" t="s">
        <v>53</v>
      </c>
      <c r="AD212" s="2" t="s">
        <v>53</v>
      </c>
      <c r="AE212" s="2" t="s">
        <v>53</v>
      </c>
      <c r="AF212" s="2" t="s">
        <v>53</v>
      </c>
      <c r="AG212" s="2" t="s">
        <v>53</v>
      </c>
      <c r="AH212" s="2" t="s">
        <v>53</v>
      </c>
      <c r="AI212" s="2" t="s">
        <v>53</v>
      </c>
    </row>
    <row r="213" customFormat="false" ht="23.85" hidden="false" customHeight="false" outlineLevel="0" collapsed="false">
      <c r="A213" s="4" t="n">
        <v>212</v>
      </c>
      <c r="B213" s="4" t="s">
        <v>35</v>
      </c>
      <c r="C213" s="4" t="s">
        <v>36</v>
      </c>
      <c r="D213" s="4" t="s">
        <v>37</v>
      </c>
      <c r="E213" s="4" t="s">
        <v>1402</v>
      </c>
      <c r="F213" s="4" t="s">
        <v>194</v>
      </c>
      <c r="G213" s="4" t="s">
        <v>1392</v>
      </c>
      <c r="H213" s="4" t="s">
        <v>1130</v>
      </c>
      <c r="I213" s="4" t="s">
        <v>264</v>
      </c>
      <c r="J213" s="4"/>
      <c r="K213" s="5"/>
      <c r="L213" s="5"/>
      <c r="M213" s="4" t="s">
        <v>53</v>
      </c>
      <c r="N213" s="4"/>
      <c r="O213" s="4" t="s">
        <v>1403</v>
      </c>
      <c r="P213" s="4" t="s">
        <v>1374</v>
      </c>
      <c r="Q213" s="4" t="s">
        <v>1395</v>
      </c>
      <c r="R213" s="4" t="s">
        <v>1404</v>
      </c>
      <c r="S213" s="4"/>
      <c r="T213" s="4" t="s">
        <v>592</v>
      </c>
      <c r="U213" s="4" t="s">
        <v>882</v>
      </c>
      <c r="V213" s="4"/>
      <c r="W213" s="4" t="s">
        <v>1397</v>
      </c>
      <c r="X213" s="4"/>
      <c r="Y213" s="4"/>
      <c r="Z213" s="4" t="s">
        <v>211</v>
      </c>
      <c r="AA213" s="4" t="s">
        <v>53</v>
      </c>
      <c r="AB213" s="4" t="s">
        <v>52</v>
      </c>
      <c r="AC213" s="4" t="s">
        <v>172</v>
      </c>
      <c r="AD213" s="4" t="s">
        <v>172</v>
      </c>
      <c r="AE213" s="4" t="s">
        <v>172</v>
      </c>
      <c r="AF213" s="4" t="s">
        <v>53</v>
      </c>
      <c r="AG213" s="4" t="s">
        <v>52</v>
      </c>
      <c r="AH213" s="4" t="s">
        <v>52</v>
      </c>
      <c r="AI213" s="4" t="s">
        <v>53</v>
      </c>
    </row>
    <row r="214" customFormat="false" ht="23.85" hidden="false" customHeight="false" outlineLevel="0" collapsed="false">
      <c r="A214" s="2" t="n">
        <v>213</v>
      </c>
      <c r="B214" s="2" t="s">
        <v>35</v>
      </c>
      <c r="C214" s="2" t="s">
        <v>36</v>
      </c>
      <c r="D214" s="2" t="s">
        <v>37</v>
      </c>
      <c r="E214" s="2" t="s">
        <v>1405</v>
      </c>
      <c r="F214" s="2" t="s">
        <v>463</v>
      </c>
      <c r="G214" s="2" t="s">
        <v>1406</v>
      </c>
      <c r="H214" s="2" t="s">
        <v>1130</v>
      </c>
      <c r="I214" s="2" t="s">
        <v>480</v>
      </c>
      <c r="J214" s="2"/>
      <c r="K214" s="3"/>
      <c r="L214" s="3"/>
      <c r="M214" s="2" t="s">
        <v>53</v>
      </c>
      <c r="N214" s="2" t="s">
        <v>13</v>
      </c>
      <c r="O214" s="2"/>
      <c r="P214" s="2"/>
      <c r="Q214" s="2"/>
      <c r="R214" s="2"/>
      <c r="S214" s="2" t="s">
        <v>48</v>
      </c>
      <c r="T214" s="2" t="s">
        <v>592</v>
      </c>
      <c r="U214" s="2" t="s">
        <v>469</v>
      </c>
      <c r="V214" s="2"/>
      <c r="W214" s="2" t="s">
        <v>1407</v>
      </c>
      <c r="X214" s="2"/>
      <c r="Y214" s="2"/>
      <c r="Z214" s="2" t="s">
        <v>128</v>
      </c>
      <c r="AA214" s="2" t="s">
        <v>52</v>
      </c>
      <c r="AB214" s="2" t="s">
        <v>53</v>
      </c>
      <c r="AC214" s="2" t="s">
        <v>53</v>
      </c>
      <c r="AD214" s="2" t="s">
        <v>53</v>
      </c>
      <c r="AE214" s="2" t="s">
        <v>53</v>
      </c>
      <c r="AF214" s="2" t="s">
        <v>52</v>
      </c>
      <c r="AG214" s="2" t="s">
        <v>52</v>
      </c>
      <c r="AH214" s="2" t="s">
        <v>52</v>
      </c>
      <c r="AI214" s="2" t="s">
        <v>53</v>
      </c>
    </row>
    <row r="215" customFormat="false" ht="35.05" hidden="false" customHeight="false" outlineLevel="0" collapsed="false">
      <c r="A215" s="4" t="n">
        <v>214</v>
      </c>
      <c r="B215" s="4" t="s">
        <v>35</v>
      </c>
      <c r="C215" s="4" t="s">
        <v>36</v>
      </c>
      <c r="D215" s="4" t="s">
        <v>37</v>
      </c>
      <c r="E215" s="4" t="s">
        <v>1408</v>
      </c>
      <c r="F215" s="4" t="s">
        <v>1408</v>
      </c>
      <c r="G215" s="4" t="s">
        <v>1409</v>
      </c>
      <c r="H215" s="4" t="s">
        <v>479</v>
      </c>
      <c r="I215" s="4" t="s">
        <v>451</v>
      </c>
      <c r="J215" s="4" t="s">
        <v>1410</v>
      </c>
      <c r="K215" s="5" t="n">
        <v>3037</v>
      </c>
      <c r="L215" s="5" t="n">
        <v>4229</v>
      </c>
      <c r="M215" s="4" t="s">
        <v>44</v>
      </c>
      <c r="N215" s="4"/>
      <c r="O215" s="4"/>
      <c r="P215" s="4"/>
      <c r="Q215" s="4"/>
      <c r="R215" s="4"/>
      <c r="S215" s="4"/>
      <c r="T215" s="4" t="s">
        <v>592</v>
      </c>
      <c r="U215" s="4" t="s">
        <v>1411</v>
      </c>
      <c r="V215" s="4"/>
      <c r="W215" s="4" t="s">
        <v>1412</v>
      </c>
      <c r="X215" s="4"/>
      <c r="Y215" s="4"/>
      <c r="Z215" s="4" t="s">
        <v>1390</v>
      </c>
      <c r="AA215" s="4" t="s">
        <v>53</v>
      </c>
      <c r="AB215" s="4" t="s">
        <v>53</v>
      </c>
      <c r="AC215" s="4" t="s">
        <v>53</v>
      </c>
      <c r="AD215" s="4" t="s">
        <v>53</v>
      </c>
      <c r="AE215" s="4" t="s">
        <v>53</v>
      </c>
      <c r="AF215" s="4" t="s">
        <v>53</v>
      </c>
      <c r="AG215" s="4" t="s">
        <v>52</v>
      </c>
      <c r="AH215" s="4" t="s">
        <v>52</v>
      </c>
      <c r="AI215" s="4" t="s">
        <v>53</v>
      </c>
    </row>
    <row r="216" customFormat="false" ht="23.85" hidden="false" customHeight="false" outlineLevel="0" collapsed="false">
      <c r="A216" s="2" t="n">
        <v>215</v>
      </c>
      <c r="B216" s="2" t="s">
        <v>35</v>
      </c>
      <c r="C216" s="2" t="s">
        <v>36</v>
      </c>
      <c r="D216" s="2" t="s">
        <v>37</v>
      </c>
      <c r="E216" s="2" t="s">
        <v>1413</v>
      </c>
      <c r="F216" s="2" t="s">
        <v>1414</v>
      </c>
      <c r="G216" s="2" t="s">
        <v>1415</v>
      </c>
      <c r="H216" s="2" t="s">
        <v>636</v>
      </c>
      <c r="I216" s="2" t="s">
        <v>1416</v>
      </c>
      <c r="J216" s="2" t="s">
        <v>1417</v>
      </c>
      <c r="K216" s="3" t="n">
        <v>3879</v>
      </c>
      <c r="L216" s="3" t="n">
        <v>4280</v>
      </c>
      <c r="M216" s="2" t="s">
        <v>53</v>
      </c>
      <c r="N216" s="2"/>
      <c r="O216" s="2"/>
      <c r="P216" s="2" t="s">
        <v>1418</v>
      </c>
      <c r="Q216" s="2" t="s">
        <v>1419</v>
      </c>
      <c r="R216" s="2" t="s">
        <v>1361</v>
      </c>
      <c r="S216" s="2"/>
      <c r="T216" s="2" t="s">
        <v>592</v>
      </c>
      <c r="U216" s="2" t="s">
        <v>1420</v>
      </c>
      <c r="V216" s="2" t="s">
        <v>1419</v>
      </c>
      <c r="W216" s="2" t="s">
        <v>493</v>
      </c>
      <c r="X216" s="2"/>
      <c r="Y216" s="2"/>
      <c r="Z216" s="2" t="s">
        <v>280</v>
      </c>
      <c r="AA216" s="2" t="s">
        <v>53</v>
      </c>
      <c r="AB216" s="2" t="s">
        <v>53</v>
      </c>
      <c r="AC216" s="2" t="s">
        <v>52</v>
      </c>
      <c r="AD216" s="2" t="s">
        <v>172</v>
      </c>
      <c r="AE216" s="2" t="s">
        <v>52</v>
      </c>
      <c r="AF216" s="2" t="s">
        <v>53</v>
      </c>
      <c r="AG216" s="2" t="s">
        <v>52</v>
      </c>
      <c r="AH216" s="2" t="s">
        <v>52</v>
      </c>
      <c r="AI216" s="2" t="s">
        <v>172</v>
      </c>
    </row>
    <row r="217" customFormat="false" ht="68.65" hidden="false" customHeight="false" outlineLevel="0" collapsed="false">
      <c r="A217" s="4" t="n">
        <v>216</v>
      </c>
      <c r="B217" s="4" t="s">
        <v>1421</v>
      </c>
      <c r="C217" s="4" t="s">
        <v>1422</v>
      </c>
      <c r="D217" s="4" t="s">
        <v>1423</v>
      </c>
      <c r="E217" s="4" t="s">
        <v>1424</v>
      </c>
      <c r="F217" s="4" t="s">
        <v>1425</v>
      </c>
      <c r="G217" s="4" t="s">
        <v>1426</v>
      </c>
      <c r="H217" s="4" t="s">
        <v>1427</v>
      </c>
      <c r="I217" s="4" t="s">
        <v>1428</v>
      </c>
      <c r="J217" s="4" t="s">
        <v>1429</v>
      </c>
      <c r="K217" s="5" t="n">
        <v>2500</v>
      </c>
      <c r="L217" s="5" t="n">
        <v>6500</v>
      </c>
      <c r="M217" s="4" t="s">
        <v>1430</v>
      </c>
      <c r="N217" s="4" t="s">
        <v>1431</v>
      </c>
      <c r="O217" s="4" t="s">
        <v>1432</v>
      </c>
      <c r="P217" s="4" t="s">
        <v>1433</v>
      </c>
      <c r="Q217" s="4" t="s">
        <v>1434</v>
      </c>
      <c r="R217" s="4" t="s">
        <v>1435</v>
      </c>
      <c r="S217" s="4" t="s">
        <v>1436</v>
      </c>
      <c r="T217" s="4" t="s">
        <v>1437</v>
      </c>
      <c r="U217" s="4" t="s">
        <v>1438</v>
      </c>
      <c r="V217" s="4" t="s">
        <v>1439</v>
      </c>
      <c r="W217" s="4" t="s">
        <v>1440</v>
      </c>
      <c r="X217" s="4" t="s">
        <v>1441</v>
      </c>
      <c r="Y217" s="4"/>
      <c r="Z217" s="4"/>
      <c r="AA217" s="4" t="s">
        <v>52</v>
      </c>
      <c r="AB217" s="4" t="s">
        <v>52</v>
      </c>
      <c r="AC217" s="4" t="s">
        <v>52</v>
      </c>
      <c r="AD217" s="4" t="s">
        <v>52</v>
      </c>
      <c r="AE217" s="4" t="s">
        <v>52</v>
      </c>
      <c r="AF217" s="4" t="s">
        <v>52</v>
      </c>
      <c r="AG217" s="4" t="s">
        <v>52</v>
      </c>
      <c r="AH217" s="4" t="s">
        <v>52</v>
      </c>
      <c r="AI217" s="4" t="s">
        <v>172</v>
      </c>
    </row>
    <row r="218" customFormat="false" ht="46.25" hidden="false" customHeight="false" outlineLevel="0" collapsed="false">
      <c r="A218" s="2" t="n">
        <v>217</v>
      </c>
      <c r="B218" s="2" t="s">
        <v>1421</v>
      </c>
      <c r="C218" s="2" t="s">
        <v>1422</v>
      </c>
      <c r="D218" s="2" t="s">
        <v>1423</v>
      </c>
      <c r="E218" s="2" t="s">
        <v>1442</v>
      </c>
      <c r="F218" s="2" t="s">
        <v>1425</v>
      </c>
      <c r="G218" s="2" t="s">
        <v>1426</v>
      </c>
      <c r="H218" s="2" t="s">
        <v>1443</v>
      </c>
      <c r="I218" s="2" t="s">
        <v>1428</v>
      </c>
      <c r="J218" s="2" t="s">
        <v>1444</v>
      </c>
      <c r="K218" s="3"/>
      <c r="L218" s="3"/>
      <c r="M218" s="2" t="s">
        <v>1445</v>
      </c>
      <c r="N218" s="2" t="s">
        <v>1446</v>
      </c>
      <c r="O218" s="2" t="s">
        <v>1447</v>
      </c>
      <c r="P218" s="2" t="s">
        <v>1448</v>
      </c>
      <c r="Q218" s="2" t="s">
        <v>1449</v>
      </c>
      <c r="R218" s="2" t="s">
        <v>1450</v>
      </c>
      <c r="S218" s="2" t="s">
        <v>1451</v>
      </c>
      <c r="T218" s="2" t="s">
        <v>1452</v>
      </c>
      <c r="U218" s="2" t="s">
        <v>1452</v>
      </c>
      <c r="V218" s="2" t="s">
        <v>1453</v>
      </c>
      <c r="W218" s="2"/>
      <c r="X218" s="2" t="s">
        <v>1454</v>
      </c>
      <c r="Y218" s="2"/>
      <c r="Z218" s="2"/>
      <c r="AA218" s="2" t="s">
        <v>172</v>
      </c>
      <c r="AB218" s="2" t="s">
        <v>172</v>
      </c>
      <c r="AC218" s="2" t="s">
        <v>52</v>
      </c>
      <c r="AD218" s="2" t="s">
        <v>172</v>
      </c>
      <c r="AE218" s="2" t="s">
        <v>52</v>
      </c>
      <c r="AF218" s="2" t="s">
        <v>52</v>
      </c>
      <c r="AG218" s="2" t="s">
        <v>172</v>
      </c>
      <c r="AH218" s="2" t="s">
        <v>172</v>
      </c>
      <c r="AI218" s="2" t="s">
        <v>172</v>
      </c>
    </row>
    <row r="219" customFormat="false" ht="35.05" hidden="false" customHeight="false" outlineLevel="0" collapsed="false">
      <c r="A219" s="4" t="n">
        <v>218</v>
      </c>
      <c r="B219" s="4" t="s">
        <v>1455</v>
      </c>
      <c r="C219" s="4" t="s">
        <v>1456</v>
      </c>
      <c r="D219" s="4" t="s">
        <v>1457</v>
      </c>
      <c r="E219" s="4" t="s">
        <v>1458</v>
      </c>
      <c r="F219" s="4" t="s">
        <v>1459</v>
      </c>
      <c r="G219" s="4" t="s">
        <v>53</v>
      </c>
      <c r="H219" s="4" t="s">
        <v>1460</v>
      </c>
      <c r="I219" s="4" t="s">
        <v>53</v>
      </c>
      <c r="J219" s="4" t="s">
        <v>53</v>
      </c>
      <c r="K219" s="5"/>
      <c r="L219" s="5"/>
      <c r="M219" s="4" t="s">
        <v>53</v>
      </c>
      <c r="N219" s="4" t="s">
        <v>1461</v>
      </c>
      <c r="O219" s="4" t="s">
        <v>1462</v>
      </c>
      <c r="P219" s="4" t="s">
        <v>1463</v>
      </c>
      <c r="Q219" s="4" t="s">
        <v>354</v>
      </c>
      <c r="R219" s="4" t="s">
        <v>1464</v>
      </c>
      <c r="S219" s="4" t="s">
        <v>53</v>
      </c>
      <c r="T219" s="4" t="s">
        <v>53</v>
      </c>
      <c r="U219" s="4" t="s">
        <v>53</v>
      </c>
      <c r="V219" s="4" t="s">
        <v>1464</v>
      </c>
      <c r="W219" s="4"/>
      <c r="X219" s="4" t="s">
        <v>1465</v>
      </c>
      <c r="Y219" s="4"/>
      <c r="Z219" s="4"/>
      <c r="AA219" s="4" t="s">
        <v>52</v>
      </c>
      <c r="AB219" s="4" t="s">
        <v>52</v>
      </c>
      <c r="AC219" s="4" t="s">
        <v>52</v>
      </c>
      <c r="AD219" s="4" t="s">
        <v>52</v>
      </c>
      <c r="AE219" s="4" t="s">
        <v>52</v>
      </c>
      <c r="AF219" s="4" t="s">
        <v>52</v>
      </c>
      <c r="AG219" s="4" t="s">
        <v>52</v>
      </c>
      <c r="AH219" s="4" t="s">
        <v>52</v>
      </c>
      <c r="AI219" s="4" t="s">
        <v>52</v>
      </c>
    </row>
    <row r="220" customFormat="false" ht="35.05" hidden="false" customHeight="false" outlineLevel="0" collapsed="false">
      <c r="A220" s="2" t="n">
        <v>219</v>
      </c>
      <c r="B220" s="2" t="s">
        <v>1455</v>
      </c>
      <c r="C220" s="2" t="s">
        <v>1456</v>
      </c>
      <c r="D220" s="2" t="s">
        <v>1457</v>
      </c>
      <c r="E220" s="2" t="s">
        <v>1466</v>
      </c>
      <c r="F220" s="2" t="s">
        <v>1467</v>
      </c>
      <c r="G220" s="2" t="s">
        <v>1468</v>
      </c>
      <c r="H220" s="2" t="s">
        <v>1460</v>
      </c>
      <c r="I220" s="2" t="s">
        <v>53</v>
      </c>
      <c r="J220" s="2" t="s">
        <v>53</v>
      </c>
      <c r="K220" s="3"/>
      <c r="L220" s="3"/>
      <c r="M220" s="2" t="s">
        <v>53</v>
      </c>
      <c r="N220" s="2" t="s">
        <v>1469</v>
      </c>
      <c r="O220" s="2" t="s">
        <v>1462</v>
      </c>
      <c r="P220" s="2" t="s">
        <v>1470</v>
      </c>
      <c r="Q220" s="2" t="s">
        <v>1469</v>
      </c>
      <c r="R220" s="2" t="s">
        <v>1464</v>
      </c>
      <c r="S220" s="2" t="s">
        <v>53</v>
      </c>
      <c r="T220" s="2" t="s">
        <v>53</v>
      </c>
      <c r="U220" s="2" t="s">
        <v>53</v>
      </c>
      <c r="V220" s="2" t="s">
        <v>1464</v>
      </c>
      <c r="W220" s="2"/>
      <c r="X220" s="2" t="s">
        <v>1465</v>
      </c>
      <c r="Y220" s="2"/>
      <c r="Z220" s="2"/>
      <c r="AA220" s="2" t="s">
        <v>1469</v>
      </c>
      <c r="AB220" s="2" t="s">
        <v>52</v>
      </c>
      <c r="AC220" s="2" t="s">
        <v>172</v>
      </c>
      <c r="AD220" s="2" t="s">
        <v>1469</v>
      </c>
      <c r="AE220" s="2" t="s">
        <v>52</v>
      </c>
      <c r="AF220" s="2" t="s">
        <v>52</v>
      </c>
      <c r="AG220" s="2" t="s">
        <v>52</v>
      </c>
      <c r="AH220" s="2" t="s">
        <v>52</v>
      </c>
      <c r="AI220" s="2" t="s">
        <v>52</v>
      </c>
    </row>
    <row r="221" customFormat="false" ht="23.85" hidden="false" customHeight="false" outlineLevel="0" collapsed="false">
      <c r="A221" s="4" t="n">
        <v>220</v>
      </c>
      <c r="B221" s="4" t="s">
        <v>1471</v>
      </c>
      <c r="C221" s="4" t="s">
        <v>1472</v>
      </c>
      <c r="D221" s="4" t="s">
        <v>1457</v>
      </c>
      <c r="E221" s="4" t="s">
        <v>1473</v>
      </c>
      <c r="F221" s="4" t="s">
        <v>1474</v>
      </c>
      <c r="G221" s="4" t="s">
        <v>1475</v>
      </c>
      <c r="H221" s="4" t="s">
        <v>1476</v>
      </c>
      <c r="I221" s="4" t="s">
        <v>53</v>
      </c>
      <c r="J221" s="4" t="s">
        <v>53</v>
      </c>
      <c r="K221" s="5"/>
      <c r="L221" s="5"/>
      <c r="M221" s="4" t="s">
        <v>53</v>
      </c>
      <c r="N221" s="4" t="s">
        <v>1477</v>
      </c>
      <c r="O221" s="4" t="s">
        <v>1478</v>
      </c>
      <c r="P221" s="4" t="s">
        <v>1479</v>
      </c>
      <c r="Q221" s="4" t="s">
        <v>1480</v>
      </c>
      <c r="R221" s="4" t="s">
        <v>1481</v>
      </c>
      <c r="S221" s="4" t="s">
        <v>1477</v>
      </c>
      <c r="T221" s="4" t="s">
        <v>1482</v>
      </c>
      <c r="U221" s="4" t="s">
        <v>1483</v>
      </c>
      <c r="V221" s="4" t="s">
        <v>1484</v>
      </c>
      <c r="W221" s="4"/>
      <c r="X221" s="4" t="s">
        <v>1485</v>
      </c>
      <c r="Y221" s="4"/>
      <c r="Z221" s="4"/>
      <c r="AA221" s="4" t="s">
        <v>172</v>
      </c>
      <c r="AB221" s="4" t="s">
        <v>52</v>
      </c>
      <c r="AC221" s="4" t="s">
        <v>52</v>
      </c>
      <c r="AD221" s="4" t="s">
        <v>52</v>
      </c>
      <c r="AE221" s="4" t="s">
        <v>52</v>
      </c>
      <c r="AF221" s="4" t="s">
        <v>172</v>
      </c>
      <c r="AG221" s="4" t="s">
        <v>52</v>
      </c>
      <c r="AH221" s="4" t="s">
        <v>52</v>
      </c>
      <c r="AI221" s="4" t="s">
        <v>52</v>
      </c>
    </row>
    <row r="222" customFormat="false" ht="23.85" hidden="false" customHeight="false" outlineLevel="0" collapsed="false">
      <c r="A222" s="2" t="n">
        <v>221</v>
      </c>
      <c r="B222" s="2" t="s">
        <v>1471</v>
      </c>
      <c r="C222" s="2" t="s">
        <v>1472</v>
      </c>
      <c r="D222" s="2" t="s">
        <v>1457</v>
      </c>
      <c r="E222" s="2" t="s">
        <v>1486</v>
      </c>
      <c r="F222" s="2" t="s">
        <v>1487</v>
      </c>
      <c r="G222" s="2" t="s">
        <v>53</v>
      </c>
      <c r="H222" s="2" t="s">
        <v>1488</v>
      </c>
      <c r="I222" s="2" t="s">
        <v>53</v>
      </c>
      <c r="J222" s="2" t="s">
        <v>53</v>
      </c>
      <c r="K222" s="3"/>
      <c r="L222" s="3"/>
      <c r="M222" s="2" t="s">
        <v>53</v>
      </c>
      <c r="N222" s="2" t="s">
        <v>1469</v>
      </c>
      <c r="O222" s="2" t="s">
        <v>1489</v>
      </c>
      <c r="P222" s="2" t="s">
        <v>1490</v>
      </c>
      <c r="Q222" s="2" t="s">
        <v>52</v>
      </c>
      <c r="R222" s="2" t="s">
        <v>1491</v>
      </c>
      <c r="S222" s="2" t="s">
        <v>1492</v>
      </c>
      <c r="T222" s="2" t="s">
        <v>705</v>
      </c>
      <c r="U222" s="2" t="s">
        <v>1493</v>
      </c>
      <c r="V222" s="2" t="s">
        <v>1491</v>
      </c>
      <c r="W222" s="2"/>
      <c r="X222" s="2" t="s">
        <v>1485</v>
      </c>
      <c r="Y222" s="2"/>
      <c r="Z222" s="2"/>
      <c r="AA222" s="2" t="s">
        <v>1469</v>
      </c>
      <c r="AB222" s="2" t="s">
        <v>1494</v>
      </c>
      <c r="AC222" s="2" t="s">
        <v>1469</v>
      </c>
      <c r="AD222" s="2" t="s">
        <v>52</v>
      </c>
      <c r="AE222" s="2" t="s">
        <v>1494</v>
      </c>
      <c r="AF222" s="2" t="s">
        <v>52</v>
      </c>
      <c r="AG222" s="2" t="s">
        <v>52</v>
      </c>
      <c r="AH222" s="2" t="s">
        <v>52</v>
      </c>
      <c r="AI222" s="2" t="s">
        <v>1494</v>
      </c>
    </row>
    <row r="223" customFormat="false" ht="23.85" hidden="false" customHeight="false" outlineLevel="0" collapsed="false">
      <c r="A223" s="4" t="n">
        <v>222</v>
      </c>
      <c r="B223" s="4" t="s">
        <v>1471</v>
      </c>
      <c r="C223" s="4" t="s">
        <v>1472</v>
      </c>
      <c r="D223" s="4" t="s">
        <v>1457</v>
      </c>
      <c r="E223" s="4" t="s">
        <v>1495</v>
      </c>
      <c r="F223" s="4" t="s">
        <v>1496</v>
      </c>
      <c r="G223" s="4" t="s">
        <v>1497</v>
      </c>
      <c r="H223" s="4" t="s">
        <v>1498</v>
      </c>
      <c r="I223" s="4" t="s">
        <v>53</v>
      </c>
      <c r="J223" s="4" t="s">
        <v>53</v>
      </c>
      <c r="K223" s="5"/>
      <c r="L223" s="5"/>
      <c r="M223" s="4" t="s">
        <v>53</v>
      </c>
      <c r="N223" s="4" t="s">
        <v>1499</v>
      </c>
      <c r="O223" s="4" t="s">
        <v>1500</v>
      </c>
      <c r="P223" s="4" t="s">
        <v>1501</v>
      </c>
      <c r="Q223" s="4" t="s">
        <v>1480</v>
      </c>
      <c r="R223" s="4" t="s">
        <v>1502</v>
      </c>
      <c r="S223" s="4" t="s">
        <v>1503</v>
      </c>
      <c r="T223" s="4" t="s">
        <v>592</v>
      </c>
      <c r="U223" s="4" t="s">
        <v>1504</v>
      </c>
      <c r="V223" s="4" t="s">
        <v>1505</v>
      </c>
      <c r="W223" s="4"/>
      <c r="X223" s="4" t="s">
        <v>1506</v>
      </c>
      <c r="Y223" s="4"/>
      <c r="Z223" s="4"/>
      <c r="AA223" s="4" t="s">
        <v>52</v>
      </c>
      <c r="AB223" s="4" t="s">
        <v>172</v>
      </c>
      <c r="AC223" s="4" t="s">
        <v>172</v>
      </c>
      <c r="AD223" s="4" t="s">
        <v>52</v>
      </c>
      <c r="AE223" s="4" t="s">
        <v>52</v>
      </c>
      <c r="AF223" s="4" t="s">
        <v>52</v>
      </c>
      <c r="AG223" s="4" t="s">
        <v>52</v>
      </c>
      <c r="AH223" s="4" t="s">
        <v>52</v>
      </c>
      <c r="AI223" s="4" t="s">
        <v>52</v>
      </c>
    </row>
    <row r="224" customFormat="false" ht="23.85" hidden="false" customHeight="false" outlineLevel="0" collapsed="false">
      <c r="A224" s="2" t="n">
        <v>223</v>
      </c>
      <c r="B224" s="2" t="s">
        <v>1471</v>
      </c>
      <c r="C224" s="2" t="s">
        <v>1472</v>
      </c>
      <c r="D224" s="2" t="s">
        <v>1457</v>
      </c>
      <c r="E224" s="2" t="s">
        <v>1507</v>
      </c>
      <c r="F224" s="2" t="s">
        <v>53</v>
      </c>
      <c r="G224" s="2" t="s">
        <v>53</v>
      </c>
      <c r="H224" s="2" t="s">
        <v>1508</v>
      </c>
      <c r="I224" s="2" t="s">
        <v>53</v>
      </c>
      <c r="J224" s="2" t="s">
        <v>53</v>
      </c>
      <c r="K224" s="3"/>
      <c r="L224" s="3"/>
      <c r="M224" s="2" t="s">
        <v>53</v>
      </c>
      <c r="N224" s="2" t="s">
        <v>52</v>
      </c>
      <c r="O224" s="2" t="s">
        <v>1509</v>
      </c>
      <c r="P224" s="2" t="s">
        <v>1510</v>
      </c>
      <c r="Q224" s="2" t="s">
        <v>1511</v>
      </c>
      <c r="R224" s="2" t="s">
        <v>1481</v>
      </c>
      <c r="S224" s="2" t="s">
        <v>1477</v>
      </c>
      <c r="T224" s="2" t="s">
        <v>1512</v>
      </c>
      <c r="U224" s="2" t="s">
        <v>1513</v>
      </c>
      <c r="V224" s="2" t="s">
        <v>1514</v>
      </c>
      <c r="W224" s="2"/>
      <c r="X224" s="2" t="s">
        <v>1485</v>
      </c>
      <c r="Y224" s="2"/>
      <c r="Z224" s="2"/>
      <c r="AA224" s="2" t="s">
        <v>52</v>
      </c>
      <c r="AB224" s="2" t="s">
        <v>52</v>
      </c>
      <c r="AC224" s="2" t="s">
        <v>172</v>
      </c>
      <c r="AD224" s="2" t="s">
        <v>52</v>
      </c>
      <c r="AE224" s="2" t="s">
        <v>52</v>
      </c>
      <c r="AF224" s="2" t="s">
        <v>172</v>
      </c>
      <c r="AG224" s="2" t="s">
        <v>52</v>
      </c>
      <c r="AH224" s="2" t="s">
        <v>52</v>
      </c>
      <c r="AI224" s="2" t="s">
        <v>172</v>
      </c>
    </row>
    <row r="225" customFormat="false" ht="23.85" hidden="false" customHeight="false" outlineLevel="0" collapsed="false">
      <c r="A225" s="4" t="n">
        <v>224</v>
      </c>
      <c r="B225" s="4" t="s">
        <v>1471</v>
      </c>
      <c r="C225" s="4" t="s">
        <v>1472</v>
      </c>
      <c r="D225" s="4" t="s">
        <v>1457</v>
      </c>
      <c r="E225" s="4" t="s">
        <v>1515</v>
      </c>
      <c r="F225" s="4" t="s">
        <v>53</v>
      </c>
      <c r="G225" s="4" t="s">
        <v>53</v>
      </c>
      <c r="H225" s="4" t="s">
        <v>1516</v>
      </c>
      <c r="I225" s="4" t="s">
        <v>53</v>
      </c>
      <c r="J225" s="4" t="s">
        <v>53</v>
      </c>
      <c r="K225" s="5"/>
      <c r="L225" s="5"/>
      <c r="M225" s="4" t="s">
        <v>53</v>
      </c>
      <c r="N225" s="4" t="s">
        <v>52</v>
      </c>
      <c r="O225" s="4" t="s">
        <v>1517</v>
      </c>
      <c r="P225" s="4" t="s">
        <v>1518</v>
      </c>
      <c r="Q225" s="4" t="s">
        <v>1519</v>
      </c>
      <c r="R225" s="4" t="s">
        <v>1520</v>
      </c>
      <c r="S225" s="4" t="s">
        <v>1503</v>
      </c>
      <c r="T225" s="4" t="s">
        <v>1521</v>
      </c>
      <c r="U225" s="4" t="s">
        <v>1522</v>
      </c>
      <c r="V225" s="4" t="s">
        <v>1523</v>
      </c>
      <c r="W225" s="4"/>
      <c r="X225" s="4" t="s">
        <v>1485</v>
      </c>
      <c r="Y225" s="4"/>
      <c r="Z225" s="4"/>
      <c r="AA225" s="4" t="s">
        <v>52</v>
      </c>
      <c r="AB225" s="4" t="s">
        <v>52</v>
      </c>
      <c r="AC225" s="4" t="s">
        <v>172</v>
      </c>
      <c r="AD225" s="4" t="s">
        <v>172</v>
      </c>
      <c r="AE225" s="4" t="s">
        <v>52</v>
      </c>
      <c r="AF225" s="4" t="s">
        <v>52</v>
      </c>
      <c r="AG225" s="4" t="s">
        <v>52</v>
      </c>
      <c r="AH225" s="4" t="s">
        <v>52</v>
      </c>
      <c r="AI225" s="4" t="s">
        <v>172</v>
      </c>
    </row>
    <row r="226" customFormat="false" ht="23.85" hidden="false" customHeight="false" outlineLevel="0" collapsed="false">
      <c r="A226" s="2" t="n">
        <v>225</v>
      </c>
      <c r="B226" s="2" t="s">
        <v>1471</v>
      </c>
      <c r="C226" s="2" t="s">
        <v>1472</v>
      </c>
      <c r="D226" s="2" t="s">
        <v>1457</v>
      </c>
      <c r="E226" s="2" t="s">
        <v>1524</v>
      </c>
      <c r="F226" s="2" t="s">
        <v>53</v>
      </c>
      <c r="G226" s="2" t="s">
        <v>53</v>
      </c>
      <c r="H226" s="2" t="s">
        <v>1498</v>
      </c>
      <c r="I226" s="2" t="s">
        <v>53</v>
      </c>
      <c r="J226" s="2" t="s">
        <v>53</v>
      </c>
      <c r="K226" s="3"/>
      <c r="L226" s="3"/>
      <c r="M226" s="2" t="s">
        <v>53</v>
      </c>
      <c r="N226" s="2" t="s">
        <v>1525</v>
      </c>
      <c r="O226" s="2" t="s">
        <v>1526</v>
      </c>
      <c r="P226" s="2" t="s">
        <v>1527</v>
      </c>
      <c r="Q226" s="2" t="s">
        <v>1511</v>
      </c>
      <c r="R226" s="2" t="s">
        <v>1528</v>
      </c>
      <c r="S226" s="2" t="s">
        <v>1503</v>
      </c>
      <c r="T226" s="2" t="s">
        <v>1529</v>
      </c>
      <c r="U226" s="2" t="s">
        <v>1530</v>
      </c>
      <c r="V226" s="2" t="s">
        <v>1531</v>
      </c>
      <c r="W226" s="2"/>
      <c r="X226" s="2" t="s">
        <v>1485</v>
      </c>
      <c r="Y226" s="2"/>
      <c r="Z226" s="2"/>
      <c r="AA226" s="2" t="s">
        <v>52</v>
      </c>
      <c r="AB226" s="2" t="s">
        <v>52</v>
      </c>
      <c r="AC226" s="2" t="s">
        <v>172</v>
      </c>
      <c r="AD226" s="2" t="s">
        <v>52</v>
      </c>
      <c r="AE226" s="2" t="s">
        <v>172</v>
      </c>
      <c r="AF226" s="2" t="s">
        <v>52</v>
      </c>
      <c r="AG226" s="2" t="s">
        <v>52</v>
      </c>
      <c r="AH226" s="2" t="s">
        <v>52</v>
      </c>
      <c r="AI226" s="2" t="s">
        <v>52</v>
      </c>
    </row>
    <row r="227" customFormat="false" ht="35.05" hidden="false" customHeight="false" outlineLevel="0" collapsed="false">
      <c r="A227" s="4" t="n">
        <v>226</v>
      </c>
      <c r="B227" s="4" t="s">
        <v>1471</v>
      </c>
      <c r="C227" s="4" t="s">
        <v>1472</v>
      </c>
      <c r="D227" s="4" t="s">
        <v>1457</v>
      </c>
      <c r="E227" s="4" t="s">
        <v>1532</v>
      </c>
      <c r="F227" s="4" t="s">
        <v>53</v>
      </c>
      <c r="G227" s="4" t="s">
        <v>53</v>
      </c>
      <c r="H227" s="4" t="s">
        <v>1533</v>
      </c>
      <c r="I227" s="4" t="s">
        <v>53</v>
      </c>
      <c r="J227" s="4" t="s">
        <v>1534</v>
      </c>
      <c r="K227" s="5"/>
      <c r="L227" s="5"/>
      <c r="M227" s="4" t="s">
        <v>53</v>
      </c>
      <c r="N227" s="4" t="s">
        <v>53</v>
      </c>
      <c r="O227" s="4" t="s">
        <v>53</v>
      </c>
      <c r="P227" s="4" t="s">
        <v>53</v>
      </c>
      <c r="Q227" s="4" t="s">
        <v>1535</v>
      </c>
      <c r="R227" s="4" t="s">
        <v>53</v>
      </c>
      <c r="S227" s="4" t="s">
        <v>53</v>
      </c>
      <c r="T227" s="4" t="s">
        <v>53</v>
      </c>
      <c r="U227" s="4" t="s">
        <v>53</v>
      </c>
      <c r="V227" s="4" t="s">
        <v>1536</v>
      </c>
      <c r="W227" s="4"/>
      <c r="X227" s="4" t="s">
        <v>1537</v>
      </c>
      <c r="Y227" s="4"/>
      <c r="Z227" s="4"/>
      <c r="AA227" s="4" t="s">
        <v>52</v>
      </c>
      <c r="AB227" s="4" t="s">
        <v>52</v>
      </c>
      <c r="AC227" s="4" t="s">
        <v>52</v>
      </c>
      <c r="AD227" s="4" t="s">
        <v>172</v>
      </c>
      <c r="AE227" s="4" t="s">
        <v>52</v>
      </c>
      <c r="AF227" s="4" t="s">
        <v>52</v>
      </c>
      <c r="AG227" s="4" t="s">
        <v>52</v>
      </c>
      <c r="AH227" s="4" t="s">
        <v>52</v>
      </c>
      <c r="AI227" s="4" t="s">
        <v>172</v>
      </c>
    </row>
    <row r="228" customFormat="false" ht="35.05" hidden="false" customHeight="false" outlineLevel="0" collapsed="false">
      <c r="A228" s="2" t="n">
        <v>227</v>
      </c>
      <c r="B228" s="2" t="s">
        <v>1471</v>
      </c>
      <c r="C228" s="2" t="s">
        <v>1472</v>
      </c>
      <c r="D228" s="2" t="s">
        <v>1457</v>
      </c>
      <c r="E228" s="2" t="s">
        <v>1538</v>
      </c>
      <c r="F228" s="2" t="s">
        <v>53</v>
      </c>
      <c r="G228" s="2" t="s">
        <v>53</v>
      </c>
      <c r="H228" s="2" t="s">
        <v>1539</v>
      </c>
      <c r="I228" s="2" t="s">
        <v>53</v>
      </c>
      <c r="J228" s="2" t="s">
        <v>53</v>
      </c>
      <c r="K228" s="3"/>
      <c r="L228" s="3"/>
      <c r="M228" s="2" t="s">
        <v>53</v>
      </c>
      <c r="N228" s="2" t="s">
        <v>1540</v>
      </c>
      <c r="O228" s="2" t="s">
        <v>1541</v>
      </c>
      <c r="P228" s="2" t="s">
        <v>1542</v>
      </c>
      <c r="Q228" s="2" t="s">
        <v>1543</v>
      </c>
      <c r="R228" s="2" t="s">
        <v>1544</v>
      </c>
      <c r="S228" s="2" t="s">
        <v>53</v>
      </c>
      <c r="T228" s="2" t="s">
        <v>53</v>
      </c>
      <c r="U228" s="2" t="s">
        <v>53</v>
      </c>
      <c r="V228" s="2" t="s">
        <v>1545</v>
      </c>
      <c r="W228" s="2"/>
      <c r="X228" s="2" t="s">
        <v>1546</v>
      </c>
      <c r="Y228" s="2"/>
      <c r="Z228" s="2"/>
      <c r="AA228" s="2" t="s">
        <v>172</v>
      </c>
      <c r="AB228" s="2" t="s">
        <v>172</v>
      </c>
      <c r="AC228" s="2" t="s">
        <v>172</v>
      </c>
      <c r="AD228" s="2" t="s">
        <v>172</v>
      </c>
      <c r="AE228" s="2" t="s">
        <v>172</v>
      </c>
      <c r="AF228" s="2" t="s">
        <v>52</v>
      </c>
      <c r="AG228" s="2" t="s">
        <v>52</v>
      </c>
      <c r="AH228" s="2" t="s">
        <v>52</v>
      </c>
      <c r="AI228" s="2" t="s">
        <v>172</v>
      </c>
    </row>
    <row r="229" customFormat="false" ht="35.05" hidden="false" customHeight="false" outlineLevel="0" collapsed="false">
      <c r="A229" s="4" t="n">
        <v>228</v>
      </c>
      <c r="B229" s="4" t="s">
        <v>1471</v>
      </c>
      <c r="C229" s="4" t="s">
        <v>1472</v>
      </c>
      <c r="D229" s="4" t="s">
        <v>1457</v>
      </c>
      <c r="E229" s="4" t="s">
        <v>1547</v>
      </c>
      <c r="F229" s="4" t="s">
        <v>53</v>
      </c>
      <c r="G229" s="4" t="s">
        <v>53</v>
      </c>
      <c r="H229" s="4" t="s">
        <v>1539</v>
      </c>
      <c r="I229" s="4" t="s">
        <v>53</v>
      </c>
      <c r="J229" s="4" t="s">
        <v>53</v>
      </c>
      <c r="K229" s="5"/>
      <c r="L229" s="5"/>
      <c r="M229" s="4" t="s">
        <v>53</v>
      </c>
      <c r="N229" s="4" t="s">
        <v>1540</v>
      </c>
      <c r="O229" s="4" t="s">
        <v>1541</v>
      </c>
      <c r="P229" s="4" t="s">
        <v>1542</v>
      </c>
      <c r="Q229" s="4" t="s">
        <v>1543</v>
      </c>
      <c r="R229" s="4" t="s">
        <v>1544</v>
      </c>
      <c r="S229" s="4" t="s">
        <v>53</v>
      </c>
      <c r="T229" s="4" t="s">
        <v>53</v>
      </c>
      <c r="U229" s="4" t="s">
        <v>53</v>
      </c>
      <c r="V229" s="4" t="s">
        <v>1545</v>
      </c>
      <c r="W229" s="4"/>
      <c r="X229" s="4" t="s">
        <v>1546</v>
      </c>
      <c r="Y229" s="4"/>
      <c r="Z229" s="4"/>
      <c r="AA229" s="4" t="s">
        <v>172</v>
      </c>
      <c r="AB229" s="4" t="s">
        <v>172</v>
      </c>
      <c r="AC229" s="4" t="s">
        <v>172</v>
      </c>
      <c r="AD229" s="4" t="s">
        <v>172</v>
      </c>
      <c r="AE229" s="4" t="s">
        <v>172</v>
      </c>
      <c r="AF229" s="4" t="s">
        <v>52</v>
      </c>
      <c r="AG229" s="4" t="s">
        <v>52</v>
      </c>
      <c r="AH229" s="4" t="s">
        <v>52</v>
      </c>
      <c r="AI229" s="4" t="s">
        <v>172</v>
      </c>
    </row>
    <row r="230" customFormat="false" ht="23.85" hidden="false" customHeight="false" outlineLevel="0" collapsed="false">
      <c r="A230" s="2" t="n">
        <v>229</v>
      </c>
      <c r="B230" s="2" t="s">
        <v>1471</v>
      </c>
      <c r="C230" s="2" t="s">
        <v>1472</v>
      </c>
      <c r="D230" s="2" t="s">
        <v>1457</v>
      </c>
      <c r="E230" s="2" t="s">
        <v>1548</v>
      </c>
      <c r="F230" s="2" t="s">
        <v>1549</v>
      </c>
      <c r="G230" s="2" t="s">
        <v>1550</v>
      </c>
      <c r="H230" s="2" t="s">
        <v>1551</v>
      </c>
      <c r="I230" s="2" t="s">
        <v>53</v>
      </c>
      <c r="J230" s="2" t="s">
        <v>53</v>
      </c>
      <c r="K230" s="3"/>
      <c r="L230" s="3"/>
      <c r="M230" s="2" t="s">
        <v>53</v>
      </c>
      <c r="N230" s="2" t="s">
        <v>1552</v>
      </c>
      <c r="O230" s="2" t="s">
        <v>53</v>
      </c>
      <c r="P230" s="2" t="s">
        <v>53</v>
      </c>
      <c r="Q230" s="2" t="s">
        <v>1553</v>
      </c>
      <c r="R230" s="2" t="s">
        <v>1554</v>
      </c>
      <c r="S230" s="2" t="s">
        <v>1555</v>
      </c>
      <c r="T230" s="2" t="s">
        <v>1556</v>
      </c>
      <c r="U230" s="2" t="s">
        <v>1557</v>
      </c>
      <c r="V230" s="2" t="s">
        <v>1558</v>
      </c>
      <c r="W230" s="2"/>
      <c r="X230" s="2" t="s">
        <v>1559</v>
      </c>
      <c r="Y230" s="2"/>
      <c r="Z230" s="2"/>
      <c r="AA230" s="2" t="s">
        <v>52</v>
      </c>
      <c r="AB230" s="2" t="s">
        <v>52</v>
      </c>
      <c r="AC230" s="2" t="s">
        <v>52</v>
      </c>
      <c r="AD230" s="2" t="s">
        <v>52</v>
      </c>
      <c r="AE230" s="2" t="s">
        <v>52</v>
      </c>
      <c r="AF230" s="2" t="s">
        <v>52</v>
      </c>
      <c r="AG230" s="2" t="s">
        <v>52</v>
      </c>
      <c r="AH230" s="2" t="s">
        <v>52</v>
      </c>
      <c r="AI230" s="2" t="s">
        <v>52</v>
      </c>
    </row>
    <row r="231" customFormat="false" ht="57.45" hidden="false" customHeight="false" outlineLevel="0" collapsed="false">
      <c r="A231" s="4" t="n">
        <v>230</v>
      </c>
      <c r="B231" s="4" t="s">
        <v>1471</v>
      </c>
      <c r="C231" s="4" t="s">
        <v>1472</v>
      </c>
      <c r="D231" s="4" t="s">
        <v>1457</v>
      </c>
      <c r="E231" s="4" t="s">
        <v>1560</v>
      </c>
      <c r="F231" s="4" t="s">
        <v>1428</v>
      </c>
      <c r="G231" s="4" t="s">
        <v>1561</v>
      </c>
      <c r="H231" s="4" t="s">
        <v>1562</v>
      </c>
      <c r="I231" s="4" t="s">
        <v>1428</v>
      </c>
      <c r="J231" s="4" t="s">
        <v>1428</v>
      </c>
      <c r="K231" s="5"/>
      <c r="L231" s="5"/>
      <c r="M231" s="4" t="s">
        <v>1428</v>
      </c>
      <c r="N231" s="4" t="s">
        <v>1563</v>
      </c>
      <c r="O231" s="4" t="s">
        <v>1564</v>
      </c>
      <c r="P231" s="4" t="s">
        <v>1565</v>
      </c>
      <c r="Q231" s="4" t="s">
        <v>1565</v>
      </c>
      <c r="R231" s="4" t="s">
        <v>1563</v>
      </c>
      <c r="S231" s="4" t="s">
        <v>1563</v>
      </c>
      <c r="T231" s="4" t="s">
        <v>1566</v>
      </c>
      <c r="U231" s="4" t="s">
        <v>1563</v>
      </c>
      <c r="V231" s="4" t="s">
        <v>1567</v>
      </c>
      <c r="W231" s="4"/>
      <c r="X231" s="4" t="s">
        <v>1568</v>
      </c>
      <c r="Y231" s="4"/>
      <c r="Z231" s="4"/>
      <c r="AA231" s="4" t="s">
        <v>52</v>
      </c>
      <c r="AB231" s="4" t="s">
        <v>52</v>
      </c>
      <c r="AC231" s="4" t="s">
        <v>172</v>
      </c>
      <c r="AD231" s="4" t="s">
        <v>172</v>
      </c>
      <c r="AE231" s="4" t="s">
        <v>52</v>
      </c>
      <c r="AF231" s="4" t="s">
        <v>52</v>
      </c>
      <c r="AG231" s="4" t="s">
        <v>52</v>
      </c>
      <c r="AH231" s="4" t="s">
        <v>52</v>
      </c>
      <c r="AI231" s="4" t="s">
        <v>52</v>
      </c>
    </row>
  </sheetData>
  <autoFilter ref="A1:AI2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52"/>
    <col collapsed="false" customWidth="true" hidden="false" outlineLevel="0" max="3" min="3" style="0" width="48"/>
    <col collapsed="false" customWidth="true" hidden="false" outlineLevel="0" max="4" min="4" style="0" width="36"/>
    <col collapsed="false" customWidth="true" hidden="false" outlineLevel="0" max="5" min="5" style="0" width="48"/>
    <col collapsed="false" customWidth="true" hidden="false" outlineLevel="0" max="6" min="6" style="0" width="52"/>
    <col collapsed="false" customWidth="true" hidden="false" outlineLevel="0" max="8" min="7" style="0" width="16"/>
    <col collapsed="false" customWidth="true" hidden="false" outlineLevel="0" max="10" min="9" style="0" width="14"/>
    <col collapsed="false" customWidth="true" hidden="false" outlineLevel="0" max="11" min="11" style="0" width="16"/>
  </cols>
  <sheetData>
    <row r="1" customFormat="false" ht="17.35" hidden="false" customHeight="false" outlineLevel="0" collapsed="false">
      <c r="A1" s="6" t="s">
        <v>1569</v>
      </c>
    </row>
    <row r="2" customFormat="false" ht="15" hidden="false" customHeight="false" outlineLevel="0" collapsed="false">
      <c r="A2" s="7" t="s">
        <v>1570</v>
      </c>
    </row>
    <row r="4" customFormat="false" ht="15" hidden="false" customHeight="false" outlineLevel="0" collapsed="false">
      <c r="A4" s="8" t="s">
        <v>1571</v>
      </c>
    </row>
    <row r="5" customFormat="false" ht="23.85" hidden="false" customHeight="false" outlineLevel="0" collapsed="false">
      <c r="A5" s="1" t="s">
        <v>1572</v>
      </c>
      <c r="B5" s="1" t="s">
        <v>1573</v>
      </c>
      <c r="C5" s="1" t="s">
        <v>1574</v>
      </c>
      <c r="D5" s="1" t="s">
        <v>52</v>
      </c>
      <c r="E5" s="1" t="s">
        <v>1494</v>
      </c>
      <c r="F5" s="1" t="s">
        <v>172</v>
      </c>
      <c r="G5" s="1" t="s">
        <v>1469</v>
      </c>
      <c r="H5" s="1" t="s">
        <v>53</v>
      </c>
      <c r="I5" s="1" t="s">
        <v>1575</v>
      </c>
      <c r="J5" s="1" t="s">
        <v>1576</v>
      </c>
      <c r="K5" s="1" t="s">
        <v>1577</v>
      </c>
    </row>
    <row r="6" customFormat="false" ht="15" hidden="false" customHeight="false" outlineLevel="0" collapsed="false">
      <c r="A6" s="9" t="s">
        <v>13</v>
      </c>
      <c r="B6" s="4" t="s">
        <v>35</v>
      </c>
      <c r="C6" s="4" t="n">
        <f aca="false">COUNTIF('Consolidated Data'!$B$2:$B$231,"Laura Lopez")</f>
        <v>215</v>
      </c>
      <c r="D6" s="4" t="n">
        <f aca="false">COUNTIFS('Consolidated Data'!$B$2:$B$231,"Laura Lopez",'Consolidated Data'!$AA$2:$AA$231,"Included")</f>
        <v>55</v>
      </c>
      <c r="E6" s="4" t="n">
        <f aca="false">COUNTIFS('Consolidated Data'!$B$2:$B$231,"Laura Lopez",'Consolidated Data'!$AA$2:$AA$231,"Included (limited)")</f>
        <v>0</v>
      </c>
      <c r="F6" s="4" t="n">
        <f aca="false">COUNTIFS('Consolidated Data'!$B$2:$B$231,"Laura Lopez",'Consolidated Data'!$AA$2:$AA$231,"Available (extra cost)")</f>
        <v>0</v>
      </c>
      <c r="G6" s="4" t="n">
        <f aca="false">COUNTIFS('Consolidated Data'!$B$2:$B$231,"Laura Lopez",'Consolidated Data'!$AA$2:$AA$231,"Not provided")</f>
        <v>0</v>
      </c>
      <c r="H6" s="4" t="n">
        <f aca="false">COUNTIFS('Consolidated Data'!$B$2:$B$231,"Laura Lopez",'Consolidated Data'!$AA$2:$AA$231,"Not stated")</f>
        <v>160</v>
      </c>
      <c r="I6" s="4" t="n">
        <f aca="false">C6-H6</f>
        <v>55</v>
      </c>
      <c r="J6" s="10" t="n">
        <f aca="false">IF(C6=0,0,I6/C6)</f>
        <v>0.255813953488372</v>
      </c>
      <c r="K6" s="10" t="n">
        <f aca="false">IF(I6=0,0,(D6+E6)/I6)</f>
        <v>1</v>
      </c>
    </row>
    <row r="7" customFormat="false" ht="15" hidden="false" customHeight="false" outlineLevel="0" collapsed="false">
      <c r="A7" s="4" t="s">
        <v>13</v>
      </c>
      <c r="B7" s="4" t="s">
        <v>1471</v>
      </c>
      <c r="C7" s="4" t="n">
        <f aca="false">COUNTIF('Consolidated Data'!$B$2:$B$231,"Jennifer Saxman")</f>
        <v>11</v>
      </c>
      <c r="D7" s="4" t="n">
        <f aca="false">COUNTIFS('Consolidated Data'!$B$2:$B$231,"Jennifer Saxman",'Consolidated Data'!$AA$2:$AA$231,"Included")</f>
        <v>7</v>
      </c>
      <c r="E7" s="4" t="n">
        <f aca="false">COUNTIFS('Consolidated Data'!$B$2:$B$231,"Jennifer Saxman",'Consolidated Data'!$AA$2:$AA$231,"Included (limited)")</f>
        <v>0</v>
      </c>
      <c r="F7" s="4" t="n">
        <f aca="false">COUNTIFS('Consolidated Data'!$B$2:$B$231,"Jennifer Saxman",'Consolidated Data'!$AA$2:$AA$231,"Available (extra cost)")</f>
        <v>3</v>
      </c>
      <c r="G7" s="4" t="n">
        <f aca="false">COUNTIFS('Consolidated Data'!$B$2:$B$231,"Jennifer Saxman",'Consolidated Data'!$AA$2:$AA$231,"Not provided")</f>
        <v>1</v>
      </c>
      <c r="H7" s="4" t="n">
        <f aca="false">COUNTIFS('Consolidated Data'!$B$2:$B$231,"Jennifer Saxman",'Consolidated Data'!$AA$2:$AA$231,"Not stated")</f>
        <v>0</v>
      </c>
      <c r="I7" s="4" t="n">
        <f aca="false">C7-H7</f>
        <v>11</v>
      </c>
      <c r="J7" s="10" t="n">
        <f aca="false">IF(C7=0,0,I7/C7)</f>
        <v>1</v>
      </c>
      <c r="K7" s="10" t="n">
        <f aca="false">IF(I7=0,0,(D7+E7)/I7)</f>
        <v>0.636363636363636</v>
      </c>
    </row>
    <row r="8" customFormat="false" ht="15" hidden="false" customHeight="false" outlineLevel="0" collapsed="false">
      <c r="A8" s="9" t="s">
        <v>14</v>
      </c>
      <c r="B8" s="4" t="s">
        <v>35</v>
      </c>
      <c r="C8" s="4" t="n">
        <f aca="false">COUNTIF('Consolidated Data'!$B$2:$B$231,"Laura Lopez")</f>
        <v>215</v>
      </c>
      <c r="D8" s="4" t="n">
        <f aca="false">COUNTIFS('Consolidated Data'!$B$2:$B$231,"Laura Lopez",'Consolidated Data'!$AB$2:$AB$231,"Included")</f>
        <v>52</v>
      </c>
      <c r="E8" s="4" t="n">
        <f aca="false">COUNTIFS('Consolidated Data'!$B$2:$B$231,"Laura Lopez",'Consolidated Data'!$AB$2:$AB$231,"Included (limited)")</f>
        <v>0</v>
      </c>
      <c r="F8" s="4" t="n">
        <f aca="false">COUNTIFS('Consolidated Data'!$B$2:$B$231,"Laura Lopez",'Consolidated Data'!$AB$2:$AB$231,"Available (extra cost)")</f>
        <v>2</v>
      </c>
      <c r="G8" s="4" t="n">
        <f aca="false">COUNTIFS('Consolidated Data'!$B$2:$B$231,"Laura Lopez",'Consolidated Data'!$AB$2:$AB$231,"Not provided")</f>
        <v>0</v>
      </c>
      <c r="H8" s="4" t="n">
        <f aca="false">COUNTIFS('Consolidated Data'!$B$2:$B$231,"Laura Lopez",'Consolidated Data'!$AB$2:$AB$231,"Not stated")</f>
        <v>161</v>
      </c>
      <c r="I8" s="4" t="n">
        <f aca="false">C8-H8</f>
        <v>54</v>
      </c>
      <c r="J8" s="10" t="n">
        <f aca="false">IF(C8=0,0,I8/C8)</f>
        <v>0.251162790697674</v>
      </c>
      <c r="K8" s="10" t="n">
        <f aca="false">IF(I8=0,0,(D8+E8)/I8)</f>
        <v>0.962962962962963</v>
      </c>
    </row>
    <row r="9" customFormat="false" ht="15" hidden="false" customHeight="false" outlineLevel="0" collapsed="false">
      <c r="A9" s="4" t="s">
        <v>14</v>
      </c>
      <c r="B9" s="4" t="s">
        <v>1471</v>
      </c>
      <c r="C9" s="4" t="n">
        <f aca="false">COUNTIF('Consolidated Data'!$B$2:$B$231,"Jennifer Saxman")</f>
        <v>11</v>
      </c>
      <c r="D9" s="4" t="n">
        <f aca="false">COUNTIFS('Consolidated Data'!$B$2:$B$231,"Jennifer Saxman",'Consolidated Data'!$AB$2:$AB$231,"Included")</f>
        <v>7</v>
      </c>
      <c r="E9" s="4" t="n">
        <f aca="false">COUNTIFS('Consolidated Data'!$B$2:$B$231,"Jennifer Saxman",'Consolidated Data'!$AB$2:$AB$231,"Included (limited)")</f>
        <v>1</v>
      </c>
      <c r="F9" s="4" t="n">
        <f aca="false">COUNTIFS('Consolidated Data'!$B$2:$B$231,"Jennifer Saxman",'Consolidated Data'!$AB$2:$AB$231,"Available (extra cost)")</f>
        <v>3</v>
      </c>
      <c r="G9" s="4" t="n">
        <f aca="false">COUNTIFS('Consolidated Data'!$B$2:$B$231,"Jennifer Saxman",'Consolidated Data'!$AB$2:$AB$231,"Not provided")</f>
        <v>0</v>
      </c>
      <c r="H9" s="4" t="n">
        <f aca="false">COUNTIFS('Consolidated Data'!$B$2:$B$231,"Jennifer Saxman",'Consolidated Data'!$AB$2:$AB$231,"Not stated")</f>
        <v>0</v>
      </c>
      <c r="I9" s="4" t="n">
        <f aca="false">C9-H9</f>
        <v>11</v>
      </c>
      <c r="J9" s="10" t="n">
        <f aca="false">IF(C9=0,0,I9/C9)</f>
        <v>1</v>
      </c>
      <c r="K9" s="10" t="n">
        <f aca="false">IF(I9=0,0,(D9+E9)/I9)</f>
        <v>0.727272727272727</v>
      </c>
    </row>
    <row r="10" customFormat="false" ht="15" hidden="false" customHeight="false" outlineLevel="0" collapsed="false">
      <c r="A10" s="9" t="s">
        <v>15</v>
      </c>
      <c r="B10" s="4" t="s">
        <v>35</v>
      </c>
      <c r="C10" s="4" t="n">
        <f aca="false">COUNTIF('Consolidated Data'!$B$2:$B$231,"Laura Lopez")</f>
        <v>215</v>
      </c>
      <c r="D10" s="4" t="n">
        <f aca="false">COUNTIFS('Consolidated Data'!$B$2:$B$231,"Laura Lopez",'Consolidated Data'!$AC$2:$AC$231,"Included")</f>
        <v>36</v>
      </c>
      <c r="E10" s="4" t="n">
        <f aca="false">COUNTIFS('Consolidated Data'!$B$2:$B$231,"Laura Lopez",'Consolidated Data'!$AC$2:$AC$231,"Included (limited)")</f>
        <v>0</v>
      </c>
      <c r="F10" s="4" t="n">
        <f aca="false">COUNTIFS('Consolidated Data'!$B$2:$B$231,"Laura Lopez",'Consolidated Data'!$AC$2:$AC$231,"Available (extra cost)")</f>
        <v>17</v>
      </c>
      <c r="G10" s="4" t="n">
        <f aca="false">COUNTIFS('Consolidated Data'!$B$2:$B$231,"Laura Lopez",'Consolidated Data'!$AC$2:$AC$231,"Not provided")</f>
        <v>0</v>
      </c>
      <c r="H10" s="4" t="n">
        <f aca="false">COUNTIFS('Consolidated Data'!$B$2:$B$231,"Laura Lopez",'Consolidated Data'!$AC$2:$AC$231,"Not stated")</f>
        <v>162</v>
      </c>
      <c r="I10" s="4" t="n">
        <f aca="false">C10-H10</f>
        <v>53</v>
      </c>
      <c r="J10" s="10" t="n">
        <f aca="false">IF(C10=0,0,I10/C10)</f>
        <v>0.246511627906977</v>
      </c>
      <c r="K10" s="10" t="n">
        <f aca="false">IF(I10=0,0,(D10+E10)/I10)</f>
        <v>0.679245283018868</v>
      </c>
    </row>
    <row r="11" customFormat="false" ht="15" hidden="false" customHeight="false" outlineLevel="0" collapsed="false">
      <c r="A11" s="4" t="s">
        <v>15</v>
      </c>
      <c r="B11" s="4" t="s">
        <v>1471</v>
      </c>
      <c r="C11" s="4" t="n">
        <f aca="false">COUNTIF('Consolidated Data'!$B$2:$B$231,"Jennifer Saxman")</f>
        <v>11</v>
      </c>
      <c r="D11" s="4" t="n">
        <f aca="false">COUNTIFS('Consolidated Data'!$B$2:$B$231,"Jennifer Saxman",'Consolidated Data'!$AC$2:$AC$231,"Included")</f>
        <v>3</v>
      </c>
      <c r="E11" s="4" t="n">
        <f aca="false">COUNTIFS('Consolidated Data'!$B$2:$B$231,"Jennifer Saxman",'Consolidated Data'!$AC$2:$AC$231,"Included (limited)")</f>
        <v>0</v>
      </c>
      <c r="F11" s="4" t="n">
        <f aca="false">COUNTIFS('Consolidated Data'!$B$2:$B$231,"Jennifer Saxman",'Consolidated Data'!$AC$2:$AC$231,"Available (extra cost)")</f>
        <v>7</v>
      </c>
      <c r="G11" s="4" t="n">
        <f aca="false">COUNTIFS('Consolidated Data'!$B$2:$B$231,"Jennifer Saxman",'Consolidated Data'!$AC$2:$AC$231,"Not provided")</f>
        <v>1</v>
      </c>
      <c r="H11" s="4" t="n">
        <f aca="false">COUNTIFS('Consolidated Data'!$B$2:$B$231,"Jennifer Saxman",'Consolidated Data'!$AC$2:$AC$231,"Not stated")</f>
        <v>0</v>
      </c>
      <c r="I11" s="4" t="n">
        <f aca="false">C11-H11</f>
        <v>11</v>
      </c>
      <c r="J11" s="10" t="n">
        <f aca="false">IF(C11=0,0,I11/C11)</f>
        <v>1</v>
      </c>
      <c r="K11" s="10" t="n">
        <f aca="false">IF(I11=0,0,(D11+E11)/I11)</f>
        <v>0.272727272727273</v>
      </c>
    </row>
    <row r="12" customFormat="false" ht="15" hidden="false" customHeight="false" outlineLevel="0" collapsed="false">
      <c r="A12" s="9" t="s">
        <v>16</v>
      </c>
      <c r="B12" s="4" t="s">
        <v>35</v>
      </c>
      <c r="C12" s="4" t="n">
        <f aca="false">COUNTIF('Consolidated Data'!$B$2:$B$231,"Laura Lopez")</f>
        <v>215</v>
      </c>
      <c r="D12" s="4" t="n">
        <f aca="false">COUNTIFS('Consolidated Data'!$B$2:$B$231,"Laura Lopez",'Consolidated Data'!$AD$2:$AD$231,"Included")</f>
        <v>60</v>
      </c>
      <c r="E12" s="4" t="n">
        <f aca="false">COUNTIFS('Consolidated Data'!$B$2:$B$231,"Laura Lopez",'Consolidated Data'!$AD$2:$AD$231,"Included (limited)")</f>
        <v>0</v>
      </c>
      <c r="F12" s="4" t="n">
        <f aca="false">COUNTIFS('Consolidated Data'!$B$2:$B$231,"Laura Lopez",'Consolidated Data'!$AD$2:$AD$231,"Available (extra cost)")</f>
        <v>9</v>
      </c>
      <c r="G12" s="4" t="n">
        <f aca="false">COUNTIFS('Consolidated Data'!$B$2:$B$231,"Laura Lopez",'Consolidated Data'!$AD$2:$AD$231,"Not provided")</f>
        <v>0</v>
      </c>
      <c r="H12" s="4" t="n">
        <f aca="false">COUNTIFS('Consolidated Data'!$B$2:$B$231,"Laura Lopez",'Consolidated Data'!$AD$2:$AD$231,"Not stated")</f>
        <v>146</v>
      </c>
      <c r="I12" s="4" t="n">
        <f aca="false">C12-H12</f>
        <v>69</v>
      </c>
      <c r="J12" s="10" t="n">
        <f aca="false">IF(C12=0,0,I12/C12)</f>
        <v>0.32093023255814</v>
      </c>
      <c r="K12" s="10" t="n">
        <f aca="false">IF(I12=0,0,(D12+E12)/I12)</f>
        <v>0.869565217391304</v>
      </c>
    </row>
    <row r="13" customFormat="false" ht="15" hidden="false" customHeight="false" outlineLevel="0" collapsed="false">
      <c r="A13" s="4" t="s">
        <v>16</v>
      </c>
      <c r="B13" s="4" t="s">
        <v>1471</v>
      </c>
      <c r="C13" s="4" t="n">
        <f aca="false">COUNTIF('Consolidated Data'!$B$2:$B$231,"Jennifer Saxman")</f>
        <v>11</v>
      </c>
      <c r="D13" s="4" t="n">
        <f aca="false">COUNTIFS('Consolidated Data'!$B$2:$B$231,"Jennifer Saxman",'Consolidated Data'!$AD$2:$AD$231,"Included")</f>
        <v>6</v>
      </c>
      <c r="E13" s="4" t="n">
        <f aca="false">COUNTIFS('Consolidated Data'!$B$2:$B$231,"Jennifer Saxman",'Consolidated Data'!$AD$2:$AD$231,"Included (limited)")</f>
        <v>0</v>
      </c>
      <c r="F13" s="4" t="n">
        <f aca="false">COUNTIFS('Consolidated Data'!$B$2:$B$231,"Jennifer Saxman",'Consolidated Data'!$AD$2:$AD$231,"Available (extra cost)")</f>
        <v>5</v>
      </c>
      <c r="G13" s="4" t="n">
        <f aca="false">COUNTIFS('Consolidated Data'!$B$2:$B$231,"Jennifer Saxman",'Consolidated Data'!$AD$2:$AD$231,"Not provided")</f>
        <v>0</v>
      </c>
      <c r="H13" s="4" t="n">
        <f aca="false">COUNTIFS('Consolidated Data'!$B$2:$B$231,"Jennifer Saxman",'Consolidated Data'!$AD$2:$AD$231,"Not stated")</f>
        <v>0</v>
      </c>
      <c r="I13" s="4" t="n">
        <f aca="false">C13-H13</f>
        <v>11</v>
      </c>
      <c r="J13" s="10" t="n">
        <f aca="false">IF(C13=0,0,I13/C13)</f>
        <v>1</v>
      </c>
      <c r="K13" s="10" t="n">
        <f aca="false">IF(I13=0,0,(D13+E13)/I13)</f>
        <v>0.545454545454545</v>
      </c>
    </row>
    <row r="14" customFormat="false" ht="15" hidden="false" customHeight="false" outlineLevel="0" collapsed="false">
      <c r="A14" s="9" t="s">
        <v>17</v>
      </c>
      <c r="B14" s="4" t="s">
        <v>35</v>
      </c>
      <c r="C14" s="4" t="n">
        <f aca="false">COUNTIF('Consolidated Data'!$B$2:$B$231,"Laura Lopez")</f>
        <v>215</v>
      </c>
      <c r="D14" s="4" t="n">
        <f aca="false">COUNTIFS('Consolidated Data'!$B$2:$B$231,"Laura Lopez",'Consolidated Data'!$AE$2:$AE$231,"Included")</f>
        <v>48</v>
      </c>
      <c r="E14" s="4" t="n">
        <f aca="false">COUNTIFS('Consolidated Data'!$B$2:$B$231,"Laura Lopez",'Consolidated Data'!$AE$2:$AE$231,"Included (limited)")</f>
        <v>0</v>
      </c>
      <c r="F14" s="4" t="n">
        <f aca="false">COUNTIFS('Consolidated Data'!$B$2:$B$231,"Laura Lopez",'Consolidated Data'!$AE$2:$AE$231,"Available (extra cost)")</f>
        <v>12</v>
      </c>
      <c r="G14" s="4" t="n">
        <f aca="false">COUNTIFS('Consolidated Data'!$B$2:$B$231,"Laura Lopez",'Consolidated Data'!$AE$2:$AE$231,"Not provided")</f>
        <v>0</v>
      </c>
      <c r="H14" s="4" t="n">
        <f aca="false">COUNTIFS('Consolidated Data'!$B$2:$B$231,"Laura Lopez",'Consolidated Data'!$AE$2:$AE$231,"Not stated")</f>
        <v>155</v>
      </c>
      <c r="I14" s="4" t="n">
        <f aca="false">C14-H14</f>
        <v>60</v>
      </c>
      <c r="J14" s="10" t="n">
        <f aca="false">IF(C14=0,0,I14/C14)</f>
        <v>0.27906976744186</v>
      </c>
      <c r="K14" s="10" t="n">
        <f aca="false">IF(I14=0,0,(D14+E14)/I14)</f>
        <v>0.8</v>
      </c>
    </row>
    <row r="15" customFormat="false" ht="15" hidden="false" customHeight="false" outlineLevel="0" collapsed="false">
      <c r="A15" s="4" t="s">
        <v>17</v>
      </c>
      <c r="B15" s="4" t="s">
        <v>1471</v>
      </c>
      <c r="C15" s="4" t="n">
        <f aca="false">COUNTIF('Consolidated Data'!$B$2:$B$231,"Jennifer Saxman")</f>
        <v>11</v>
      </c>
      <c r="D15" s="4" t="n">
        <f aca="false">COUNTIFS('Consolidated Data'!$B$2:$B$231,"Jennifer Saxman",'Consolidated Data'!$AE$2:$AE$231,"Included")</f>
        <v>7</v>
      </c>
      <c r="E15" s="4" t="n">
        <f aca="false">COUNTIFS('Consolidated Data'!$B$2:$B$231,"Jennifer Saxman",'Consolidated Data'!$AE$2:$AE$231,"Included (limited)")</f>
        <v>1</v>
      </c>
      <c r="F15" s="4" t="n">
        <f aca="false">COUNTIFS('Consolidated Data'!$B$2:$B$231,"Jennifer Saxman",'Consolidated Data'!$AE$2:$AE$231,"Available (extra cost)")</f>
        <v>3</v>
      </c>
      <c r="G15" s="4" t="n">
        <f aca="false">COUNTIFS('Consolidated Data'!$B$2:$B$231,"Jennifer Saxman",'Consolidated Data'!$AE$2:$AE$231,"Not provided")</f>
        <v>0</v>
      </c>
      <c r="H15" s="4" t="n">
        <f aca="false">COUNTIFS('Consolidated Data'!$B$2:$B$231,"Jennifer Saxman",'Consolidated Data'!$AE$2:$AE$231,"Not stated")</f>
        <v>0</v>
      </c>
      <c r="I15" s="4" t="n">
        <f aca="false">C15-H15</f>
        <v>11</v>
      </c>
      <c r="J15" s="10" t="n">
        <f aca="false">IF(C15=0,0,I15/C15)</f>
        <v>1</v>
      </c>
      <c r="K15" s="10" t="n">
        <f aca="false">IF(I15=0,0,(D15+E15)/I15)</f>
        <v>0.727272727272727</v>
      </c>
    </row>
    <row r="16" customFormat="false" ht="15" hidden="false" customHeight="false" outlineLevel="0" collapsed="false">
      <c r="A16" s="9" t="s">
        <v>18</v>
      </c>
      <c r="B16" s="4" t="s">
        <v>35</v>
      </c>
      <c r="C16" s="4" t="n">
        <f aca="false">COUNTIF('Consolidated Data'!$B$2:$B$231,"Laura Lopez")</f>
        <v>215</v>
      </c>
      <c r="D16" s="4" t="n">
        <f aca="false">COUNTIFS('Consolidated Data'!$B$2:$B$231,"Laura Lopez",'Consolidated Data'!$AF$2:$AF$231,"Included")</f>
        <v>74</v>
      </c>
      <c r="E16" s="4" t="n">
        <f aca="false">COUNTIFS('Consolidated Data'!$B$2:$B$231,"Laura Lopez",'Consolidated Data'!$AF$2:$AF$231,"Included (limited)")</f>
        <v>0</v>
      </c>
      <c r="F16" s="4" t="n">
        <f aca="false">COUNTIFS('Consolidated Data'!$B$2:$B$231,"Laura Lopez",'Consolidated Data'!$AF$2:$AF$231,"Available (extra cost)")</f>
        <v>2</v>
      </c>
      <c r="G16" s="4" t="n">
        <f aca="false">COUNTIFS('Consolidated Data'!$B$2:$B$231,"Laura Lopez",'Consolidated Data'!$AF$2:$AF$231,"Not provided")</f>
        <v>0</v>
      </c>
      <c r="H16" s="4" t="n">
        <f aca="false">COUNTIFS('Consolidated Data'!$B$2:$B$231,"Laura Lopez",'Consolidated Data'!$AF$2:$AF$231,"Not stated")</f>
        <v>139</v>
      </c>
      <c r="I16" s="4" t="n">
        <f aca="false">C16-H16</f>
        <v>76</v>
      </c>
      <c r="J16" s="10" t="n">
        <f aca="false">IF(C16=0,0,I16/C16)</f>
        <v>0.353488372093023</v>
      </c>
      <c r="K16" s="10" t="n">
        <f aca="false">IF(I16=0,0,(D16+E16)/I16)</f>
        <v>0.973684210526316</v>
      </c>
    </row>
    <row r="17" customFormat="false" ht="15" hidden="false" customHeight="false" outlineLevel="0" collapsed="false">
      <c r="A17" s="4" t="s">
        <v>18</v>
      </c>
      <c r="B17" s="4" t="s">
        <v>1471</v>
      </c>
      <c r="C17" s="4" t="n">
        <f aca="false">COUNTIF('Consolidated Data'!$B$2:$B$231,"Jennifer Saxman")</f>
        <v>11</v>
      </c>
      <c r="D17" s="4" t="n">
        <f aca="false">COUNTIFS('Consolidated Data'!$B$2:$B$231,"Jennifer Saxman",'Consolidated Data'!$AF$2:$AF$231,"Included")</f>
        <v>9</v>
      </c>
      <c r="E17" s="4" t="n">
        <f aca="false">COUNTIFS('Consolidated Data'!$B$2:$B$231,"Jennifer Saxman",'Consolidated Data'!$AF$2:$AF$231,"Included (limited)")</f>
        <v>0</v>
      </c>
      <c r="F17" s="4" t="n">
        <f aca="false">COUNTIFS('Consolidated Data'!$B$2:$B$231,"Jennifer Saxman",'Consolidated Data'!$AF$2:$AF$231,"Available (extra cost)")</f>
        <v>2</v>
      </c>
      <c r="G17" s="4" t="n">
        <f aca="false">COUNTIFS('Consolidated Data'!$B$2:$B$231,"Jennifer Saxman",'Consolidated Data'!$AF$2:$AF$231,"Not provided")</f>
        <v>0</v>
      </c>
      <c r="H17" s="4" t="n">
        <f aca="false">COUNTIFS('Consolidated Data'!$B$2:$B$231,"Jennifer Saxman",'Consolidated Data'!$AF$2:$AF$231,"Not stated")</f>
        <v>0</v>
      </c>
      <c r="I17" s="4" t="n">
        <f aca="false">C17-H17</f>
        <v>11</v>
      </c>
      <c r="J17" s="10" t="n">
        <f aca="false">IF(C17=0,0,I17/C17)</f>
        <v>1</v>
      </c>
      <c r="K17" s="10" t="n">
        <f aca="false">IF(I17=0,0,(D17+E17)/I17)</f>
        <v>0.818181818181818</v>
      </c>
    </row>
    <row r="18" customFormat="false" ht="15" hidden="false" customHeight="false" outlineLevel="0" collapsed="false">
      <c r="A18" s="9" t="s">
        <v>19</v>
      </c>
      <c r="B18" s="4" t="s">
        <v>35</v>
      </c>
      <c r="C18" s="4" t="n">
        <f aca="false">COUNTIF('Consolidated Data'!$B$2:$B$231,"Laura Lopez")</f>
        <v>215</v>
      </c>
      <c r="D18" s="4" t="n">
        <f aca="false">COUNTIFS('Consolidated Data'!$B$2:$B$231,"Laura Lopez",'Consolidated Data'!$AG$2:$AG$231,"Included")</f>
        <v>102</v>
      </c>
      <c r="E18" s="4" t="n">
        <f aca="false">COUNTIFS('Consolidated Data'!$B$2:$B$231,"Laura Lopez",'Consolidated Data'!$AG$2:$AG$231,"Included (limited)")</f>
        <v>0</v>
      </c>
      <c r="F18" s="4" t="n">
        <f aca="false">COUNTIFS('Consolidated Data'!$B$2:$B$231,"Laura Lopez",'Consolidated Data'!$AG$2:$AG$231,"Available (extra cost)")</f>
        <v>1</v>
      </c>
      <c r="G18" s="4" t="n">
        <f aca="false">COUNTIFS('Consolidated Data'!$B$2:$B$231,"Laura Lopez",'Consolidated Data'!$AG$2:$AG$231,"Not provided")</f>
        <v>0</v>
      </c>
      <c r="H18" s="4" t="n">
        <f aca="false">COUNTIFS('Consolidated Data'!$B$2:$B$231,"Laura Lopez",'Consolidated Data'!$AG$2:$AG$231,"Not stated")</f>
        <v>112</v>
      </c>
      <c r="I18" s="4" t="n">
        <f aca="false">C18-H18</f>
        <v>103</v>
      </c>
      <c r="J18" s="10" t="n">
        <f aca="false">IF(C18=0,0,I18/C18)</f>
        <v>0.479069767441861</v>
      </c>
      <c r="K18" s="10" t="n">
        <f aca="false">IF(I18=0,0,(D18+E18)/I18)</f>
        <v>0.990291262135922</v>
      </c>
    </row>
    <row r="19" customFormat="false" ht="15" hidden="false" customHeight="false" outlineLevel="0" collapsed="false">
      <c r="A19" s="4" t="s">
        <v>19</v>
      </c>
      <c r="B19" s="4" t="s">
        <v>1471</v>
      </c>
      <c r="C19" s="4" t="n">
        <f aca="false">COUNTIF('Consolidated Data'!$B$2:$B$231,"Jennifer Saxman")</f>
        <v>11</v>
      </c>
      <c r="D19" s="4" t="n">
        <f aca="false">COUNTIFS('Consolidated Data'!$B$2:$B$231,"Jennifer Saxman",'Consolidated Data'!$AG$2:$AG$231,"Included")</f>
        <v>11</v>
      </c>
      <c r="E19" s="4" t="n">
        <f aca="false">COUNTIFS('Consolidated Data'!$B$2:$B$231,"Jennifer Saxman",'Consolidated Data'!$AG$2:$AG$231,"Included (limited)")</f>
        <v>0</v>
      </c>
      <c r="F19" s="4" t="n">
        <f aca="false">COUNTIFS('Consolidated Data'!$B$2:$B$231,"Jennifer Saxman",'Consolidated Data'!$AG$2:$AG$231,"Available (extra cost)")</f>
        <v>0</v>
      </c>
      <c r="G19" s="4" t="n">
        <f aca="false">COUNTIFS('Consolidated Data'!$B$2:$B$231,"Jennifer Saxman",'Consolidated Data'!$AG$2:$AG$231,"Not provided")</f>
        <v>0</v>
      </c>
      <c r="H19" s="4" t="n">
        <f aca="false">COUNTIFS('Consolidated Data'!$B$2:$B$231,"Jennifer Saxman",'Consolidated Data'!$AG$2:$AG$231,"Not stated")</f>
        <v>0</v>
      </c>
      <c r="I19" s="4" t="n">
        <f aca="false">C19-H19</f>
        <v>11</v>
      </c>
      <c r="J19" s="10" t="n">
        <f aca="false">IF(C19=0,0,I19/C19)</f>
        <v>1</v>
      </c>
      <c r="K19" s="10" t="n">
        <f aca="false">IF(I19=0,0,(D19+E19)/I19)</f>
        <v>1</v>
      </c>
    </row>
    <row r="20" customFormat="false" ht="15" hidden="false" customHeight="false" outlineLevel="0" collapsed="false">
      <c r="A20" s="9" t="s">
        <v>20</v>
      </c>
      <c r="B20" s="4" t="s">
        <v>35</v>
      </c>
      <c r="C20" s="4" t="n">
        <f aca="false">COUNTIF('Consolidated Data'!$B$2:$B$231,"Laura Lopez")</f>
        <v>215</v>
      </c>
      <c r="D20" s="4" t="n">
        <f aca="false">COUNTIFS('Consolidated Data'!$B$2:$B$231,"Laura Lopez",'Consolidated Data'!$AH$2:$AH$231,"Included")</f>
        <v>118</v>
      </c>
      <c r="E20" s="4" t="n">
        <f aca="false">COUNTIFS('Consolidated Data'!$B$2:$B$231,"Laura Lopez",'Consolidated Data'!$AH$2:$AH$231,"Included (limited)")</f>
        <v>0</v>
      </c>
      <c r="F20" s="4" t="n">
        <f aca="false">COUNTIFS('Consolidated Data'!$B$2:$B$231,"Laura Lopez",'Consolidated Data'!$AH$2:$AH$231,"Available (extra cost)")</f>
        <v>2</v>
      </c>
      <c r="G20" s="4" t="n">
        <f aca="false">COUNTIFS('Consolidated Data'!$B$2:$B$231,"Laura Lopez",'Consolidated Data'!$AH$2:$AH$231,"Not provided")</f>
        <v>0</v>
      </c>
      <c r="H20" s="4" t="n">
        <f aca="false">COUNTIFS('Consolidated Data'!$B$2:$B$231,"Laura Lopez",'Consolidated Data'!$AH$2:$AH$231,"Not stated")</f>
        <v>95</v>
      </c>
      <c r="I20" s="4" t="n">
        <f aca="false">C20-H20</f>
        <v>120</v>
      </c>
      <c r="J20" s="10" t="n">
        <f aca="false">IF(C20=0,0,I20/C20)</f>
        <v>0.558139534883721</v>
      </c>
      <c r="K20" s="10" t="n">
        <f aca="false">IF(I20=0,0,(D20+E20)/I20)</f>
        <v>0.983333333333333</v>
      </c>
    </row>
    <row r="21" customFormat="false" ht="15" hidden="false" customHeight="false" outlineLevel="0" collapsed="false">
      <c r="A21" s="4" t="s">
        <v>20</v>
      </c>
      <c r="B21" s="4" t="s">
        <v>1471</v>
      </c>
      <c r="C21" s="4" t="n">
        <f aca="false">COUNTIF('Consolidated Data'!$B$2:$B$231,"Jennifer Saxman")</f>
        <v>11</v>
      </c>
      <c r="D21" s="4" t="n">
        <f aca="false">COUNTIFS('Consolidated Data'!$B$2:$B$231,"Jennifer Saxman",'Consolidated Data'!$AH$2:$AH$231,"Included")</f>
        <v>11</v>
      </c>
      <c r="E21" s="4" t="n">
        <f aca="false">COUNTIFS('Consolidated Data'!$B$2:$B$231,"Jennifer Saxman",'Consolidated Data'!$AH$2:$AH$231,"Included (limited)")</f>
        <v>0</v>
      </c>
      <c r="F21" s="4" t="n">
        <f aca="false">COUNTIFS('Consolidated Data'!$B$2:$B$231,"Jennifer Saxman",'Consolidated Data'!$AH$2:$AH$231,"Available (extra cost)")</f>
        <v>0</v>
      </c>
      <c r="G21" s="4" t="n">
        <f aca="false">COUNTIFS('Consolidated Data'!$B$2:$B$231,"Jennifer Saxman",'Consolidated Data'!$AH$2:$AH$231,"Not provided")</f>
        <v>0</v>
      </c>
      <c r="H21" s="4" t="n">
        <f aca="false">COUNTIFS('Consolidated Data'!$B$2:$B$231,"Jennifer Saxman",'Consolidated Data'!$AH$2:$AH$231,"Not stated")</f>
        <v>0</v>
      </c>
      <c r="I21" s="4" t="n">
        <f aca="false">C21-H21</f>
        <v>11</v>
      </c>
      <c r="J21" s="10" t="n">
        <f aca="false">IF(C21=0,0,I21/C21)</f>
        <v>1</v>
      </c>
      <c r="K21" s="10" t="n">
        <f aca="false">IF(I21=0,0,(D21+E21)/I21)</f>
        <v>1</v>
      </c>
    </row>
    <row r="22" customFormat="false" ht="15" hidden="false" customHeight="false" outlineLevel="0" collapsed="false">
      <c r="A22" s="9" t="s">
        <v>21</v>
      </c>
      <c r="B22" s="4" t="s">
        <v>35</v>
      </c>
      <c r="C22" s="4" t="n">
        <f aca="false">COUNTIF('Consolidated Data'!$B$2:$B$231,"Laura Lopez")</f>
        <v>215</v>
      </c>
      <c r="D22" s="4" t="n">
        <f aca="false">COUNTIFS('Consolidated Data'!$B$2:$B$231,"Laura Lopez",'Consolidated Data'!$AI$2:$AI$231,"Included")</f>
        <v>10</v>
      </c>
      <c r="E22" s="4" t="n">
        <f aca="false">COUNTIFS('Consolidated Data'!$B$2:$B$231,"Laura Lopez",'Consolidated Data'!$AI$2:$AI$231,"Included (limited)")</f>
        <v>0</v>
      </c>
      <c r="F22" s="4" t="n">
        <f aca="false">COUNTIFS('Consolidated Data'!$B$2:$B$231,"Laura Lopez",'Consolidated Data'!$AI$2:$AI$231,"Available (extra cost)")</f>
        <v>4</v>
      </c>
      <c r="G22" s="4" t="n">
        <f aca="false">COUNTIFS('Consolidated Data'!$B$2:$B$231,"Laura Lopez",'Consolidated Data'!$AI$2:$AI$231,"Not provided")</f>
        <v>0</v>
      </c>
      <c r="H22" s="4" t="n">
        <f aca="false">COUNTIFS('Consolidated Data'!$B$2:$B$231,"Laura Lopez",'Consolidated Data'!$AI$2:$AI$231,"Not stated")</f>
        <v>201</v>
      </c>
      <c r="I22" s="4" t="n">
        <f aca="false">C22-H22</f>
        <v>14</v>
      </c>
      <c r="J22" s="10" t="n">
        <f aca="false">IF(C22=0,0,I22/C22)</f>
        <v>0.0651162790697674</v>
      </c>
      <c r="K22" s="10" t="n">
        <f aca="false">IF(I22=0,0,(D22+E22)/I22)</f>
        <v>0.714285714285714</v>
      </c>
    </row>
    <row r="23" customFormat="false" ht="15" hidden="false" customHeight="false" outlineLevel="0" collapsed="false">
      <c r="A23" s="4" t="s">
        <v>21</v>
      </c>
      <c r="B23" s="4" t="s">
        <v>1471</v>
      </c>
      <c r="C23" s="4" t="n">
        <f aca="false">COUNTIF('Consolidated Data'!$B$2:$B$231,"Jennifer Saxman")</f>
        <v>11</v>
      </c>
      <c r="D23" s="4" t="n">
        <f aca="false">COUNTIFS('Consolidated Data'!$B$2:$B$231,"Jennifer Saxman",'Consolidated Data'!$AI$2:$AI$231,"Included")</f>
        <v>5</v>
      </c>
      <c r="E23" s="4" t="n">
        <f aca="false">COUNTIFS('Consolidated Data'!$B$2:$B$231,"Jennifer Saxman",'Consolidated Data'!$AI$2:$AI$231,"Included (limited)")</f>
        <v>1</v>
      </c>
      <c r="F23" s="4" t="n">
        <f aca="false">COUNTIFS('Consolidated Data'!$B$2:$B$231,"Jennifer Saxman",'Consolidated Data'!$AI$2:$AI$231,"Available (extra cost)")</f>
        <v>5</v>
      </c>
      <c r="G23" s="4" t="n">
        <f aca="false">COUNTIFS('Consolidated Data'!$B$2:$B$231,"Jennifer Saxman",'Consolidated Data'!$AI$2:$AI$231,"Not provided")</f>
        <v>0</v>
      </c>
      <c r="H23" s="4" t="n">
        <f aca="false">COUNTIFS('Consolidated Data'!$B$2:$B$231,"Jennifer Saxman",'Consolidated Data'!$AI$2:$AI$231,"Not stated")</f>
        <v>0</v>
      </c>
      <c r="I23" s="4" t="n">
        <f aca="false">C23-H23</f>
        <v>11</v>
      </c>
      <c r="J23" s="10" t="n">
        <f aca="false">IF(C23=0,0,I23/C23)</f>
        <v>1</v>
      </c>
      <c r="K23" s="10" t="n">
        <f aca="false">IF(I23=0,0,(D23+E23)/I23)</f>
        <v>0.545454545454545</v>
      </c>
    </row>
    <row r="24" customFormat="false" ht="42" hidden="false" customHeight="true" outlineLevel="0" collapsed="false">
      <c r="A24" s="11" t="s">
        <v>1578</v>
      </c>
      <c r="B24" s="11"/>
      <c r="C24" s="11"/>
      <c r="D24" s="11"/>
      <c r="E24" s="11"/>
      <c r="F24" s="11"/>
      <c r="G24" s="11"/>
      <c r="H24" s="11"/>
      <c r="I24" s="11"/>
      <c r="J24" s="11"/>
      <c r="K24" s="11"/>
    </row>
    <row r="26" customFormat="false" ht="15" hidden="false" customHeight="false" outlineLevel="0" collapsed="false">
      <c r="A26" s="8" t="s">
        <v>1579</v>
      </c>
    </row>
    <row r="27" customFormat="false" ht="15" hidden="false" customHeight="false" outlineLevel="0" collapsed="false">
      <c r="A27" s="1" t="s">
        <v>1580</v>
      </c>
      <c r="B27" s="1" t="s">
        <v>1581</v>
      </c>
      <c r="C27" s="1" t="s">
        <v>1582</v>
      </c>
    </row>
    <row r="28" customFormat="false" ht="15" hidden="false" customHeight="false" outlineLevel="0" collapsed="false">
      <c r="A28" s="4" t="s">
        <v>1583</v>
      </c>
      <c r="B28" s="4" t="n">
        <f aca="false">COUNTIFS('Consolidated Data'!$B$2:$B$231,"Laura Lopez",'Consolidated Data'!$K$2:$K$231,"&gt;0")</f>
        <v>54</v>
      </c>
      <c r="C28" s="4" t="s">
        <v>1584</v>
      </c>
    </row>
    <row r="29" customFormat="false" ht="15" hidden="false" customHeight="false" outlineLevel="0" collapsed="false">
      <c r="A29" s="4" t="s">
        <v>1585</v>
      </c>
      <c r="B29" s="5" t="n">
        <f aca="false">MIN('Consolidated Data'!$K$2:$K$216)</f>
        <v>515</v>
      </c>
      <c r="C29" s="4" t="s">
        <v>1586</v>
      </c>
    </row>
    <row r="30" customFormat="false" ht="23.85" hidden="false" customHeight="false" outlineLevel="0" collapsed="false">
      <c r="A30" s="4" t="s">
        <v>1587</v>
      </c>
      <c r="B30" s="5" t="n">
        <f aca="false">MEDIAN('Consolidated Data'!$K$2:$K$216)</f>
        <v>2799.5</v>
      </c>
      <c r="C30" s="4" t="s">
        <v>1588</v>
      </c>
    </row>
    <row r="31" customFormat="false" ht="15" hidden="false" customHeight="false" outlineLevel="0" collapsed="false">
      <c r="A31" s="4" t="s">
        <v>1589</v>
      </c>
      <c r="B31" s="5" t="n">
        <f aca="false">MAX('Consolidated Data'!$L$2:$L$216)</f>
        <v>6900</v>
      </c>
      <c r="C31" s="4" t="s">
        <v>1590</v>
      </c>
    </row>
    <row r="32" customFormat="false" ht="23.85" hidden="false" customHeight="false" outlineLevel="0" collapsed="false">
      <c r="A32" s="4" t="s">
        <v>1591</v>
      </c>
      <c r="B32" s="4" t="n">
        <f aca="false">COUNTIFS('Consolidated Data'!$B$2:$B$231,"Laura Lopez",'Consolidated Data'!$M$2:$M$231,"Yes")</f>
        <v>63</v>
      </c>
      <c r="C32" s="4" t="s">
        <v>1592</v>
      </c>
    </row>
    <row r="33" customFormat="false" ht="15" hidden="false" customHeight="false" outlineLevel="0" collapsed="false">
      <c r="A33" s="4" t="s">
        <v>1593</v>
      </c>
      <c r="B33" s="4" t="n">
        <f aca="false">COUNTIFS('Consolidated Data'!$B$2:$B$231,"Laura Lopez",'Consolidated Data'!$M$2:$M$231,"CCRC (entry fee not stated)")</f>
        <v>35</v>
      </c>
      <c r="C33" s="4" t="s">
        <v>1592</v>
      </c>
    </row>
    <row r="34" customFormat="false" ht="15" hidden="false" customHeight="false" outlineLevel="0" collapsed="false">
      <c r="A34" s="4" t="s">
        <v>1594</v>
      </c>
      <c r="B34" s="4" t="s">
        <v>1595</v>
      </c>
      <c r="C34" s="4" t="s">
        <v>1596</v>
      </c>
    </row>
    <row r="35" customFormat="false" ht="15" hidden="false" customHeight="false" outlineLevel="0" collapsed="false">
      <c r="A35" s="4" t="s">
        <v>1597</v>
      </c>
      <c r="B35" s="4" t="s">
        <v>1598</v>
      </c>
      <c r="C35" s="4" t="s">
        <v>1599</v>
      </c>
    </row>
    <row r="36" customFormat="false" ht="15" hidden="false" customHeight="false" outlineLevel="0" collapsed="false">
      <c r="A36" s="4" t="s">
        <v>1600</v>
      </c>
      <c r="B36" s="4" t="s">
        <v>1601</v>
      </c>
      <c r="C36" s="4" t="s">
        <v>1599</v>
      </c>
    </row>
    <row r="37" customFormat="false" ht="23.85" hidden="false" customHeight="false" outlineLevel="0" collapsed="false">
      <c r="A37" s="4" t="s">
        <v>1602</v>
      </c>
      <c r="B37" s="4" t="s">
        <v>1603</v>
      </c>
      <c r="C37" s="4" t="s">
        <v>1604</v>
      </c>
    </row>
    <row r="38" customFormat="false" ht="15" hidden="false" customHeight="false" outlineLevel="0" collapsed="false">
      <c r="A38" s="4" t="s">
        <v>1605</v>
      </c>
      <c r="B38" s="4" t="s">
        <v>1606</v>
      </c>
      <c r="C38" s="4" t="s">
        <v>1599</v>
      </c>
    </row>
    <row r="39" customFormat="false" ht="15" hidden="false" customHeight="false" outlineLevel="0" collapsed="false">
      <c r="A39" s="4" t="s">
        <v>1607</v>
      </c>
      <c r="B39" s="4" t="s">
        <v>1608</v>
      </c>
      <c r="C39" s="4" t="s">
        <v>1599</v>
      </c>
    </row>
    <row r="40" customFormat="false" ht="23.85" hidden="false" customHeight="false" outlineLevel="0" collapsed="false">
      <c r="A40" s="4" t="s">
        <v>1609</v>
      </c>
      <c r="B40" s="4" t="s">
        <v>1610</v>
      </c>
      <c r="C40" s="4" t="s">
        <v>1611</v>
      </c>
    </row>
    <row r="41" customFormat="false" ht="23.85" hidden="false" customHeight="false" outlineLevel="0" collapsed="false">
      <c r="A41" s="4" t="s">
        <v>1612</v>
      </c>
      <c r="B41" s="4" t="s">
        <v>1613</v>
      </c>
      <c r="C41" s="4" t="s">
        <v>1614</v>
      </c>
    </row>
    <row r="42" customFormat="false" ht="54" hidden="false" customHeight="true" outlineLevel="0" collapsed="false">
      <c r="A42" s="11" t="s">
        <v>1615</v>
      </c>
      <c r="B42" s="11"/>
      <c r="C42" s="11"/>
    </row>
    <row r="44" customFormat="false" ht="15" hidden="false" customHeight="false" outlineLevel="0" collapsed="false">
      <c r="A44" s="8" t="s">
        <v>1616</v>
      </c>
    </row>
    <row r="45" customFormat="false" ht="23.85" hidden="false" customHeight="false" outlineLevel="0" collapsed="false">
      <c r="A45" s="1" t="s">
        <v>1572</v>
      </c>
      <c r="B45" s="1" t="s">
        <v>1617</v>
      </c>
      <c r="C45" s="1" t="s">
        <v>1618</v>
      </c>
      <c r="D45" s="1" t="s">
        <v>1619</v>
      </c>
      <c r="E45" s="1" t="s">
        <v>1620</v>
      </c>
      <c r="F45" s="1" t="s">
        <v>1621</v>
      </c>
    </row>
    <row r="46" customFormat="false" ht="169.5" hidden="false" customHeight="true" outlineLevel="0" collapsed="false">
      <c r="A46" s="9" t="s">
        <v>13</v>
      </c>
      <c r="B46" s="4" t="s">
        <v>1622</v>
      </c>
      <c r="C46" s="4" t="s">
        <v>1623</v>
      </c>
      <c r="D46" s="4" t="s">
        <v>1624</v>
      </c>
      <c r="E46" s="4" t="s">
        <v>1625</v>
      </c>
      <c r="F46" s="4" t="s">
        <v>1626</v>
      </c>
    </row>
    <row r="47" customFormat="false" ht="169.5" hidden="false" customHeight="true" outlineLevel="0" collapsed="false">
      <c r="A47" s="9" t="s">
        <v>14</v>
      </c>
      <c r="B47" s="4" t="s">
        <v>1627</v>
      </c>
      <c r="C47" s="4" t="s">
        <v>1628</v>
      </c>
      <c r="D47" s="4" t="s">
        <v>1629</v>
      </c>
      <c r="E47" s="4" t="s">
        <v>1630</v>
      </c>
      <c r="F47" s="4" t="s">
        <v>1631</v>
      </c>
    </row>
    <row r="48" customFormat="false" ht="169.5" hidden="false" customHeight="true" outlineLevel="0" collapsed="false">
      <c r="A48" s="9" t="s">
        <v>15</v>
      </c>
      <c r="B48" s="4" t="s">
        <v>1632</v>
      </c>
      <c r="C48" s="4" t="s">
        <v>1633</v>
      </c>
      <c r="D48" s="4" t="s">
        <v>1634</v>
      </c>
      <c r="E48" s="4" t="s">
        <v>1635</v>
      </c>
      <c r="F48" s="4" t="s">
        <v>1636</v>
      </c>
    </row>
    <row r="49" customFormat="false" ht="169.5" hidden="false" customHeight="true" outlineLevel="0" collapsed="false">
      <c r="A49" s="9" t="s">
        <v>16</v>
      </c>
      <c r="B49" s="4" t="s">
        <v>1637</v>
      </c>
      <c r="C49" s="4" t="s">
        <v>1638</v>
      </c>
      <c r="D49" s="4" t="s">
        <v>1639</v>
      </c>
      <c r="E49" s="4" t="s">
        <v>1640</v>
      </c>
      <c r="F49" s="4" t="s">
        <v>1641</v>
      </c>
    </row>
    <row r="50" customFormat="false" ht="169.5" hidden="false" customHeight="true" outlineLevel="0" collapsed="false">
      <c r="A50" s="9" t="s">
        <v>17</v>
      </c>
      <c r="B50" s="4" t="s">
        <v>1642</v>
      </c>
      <c r="C50" s="4" t="s">
        <v>1643</v>
      </c>
      <c r="D50" s="4" t="s">
        <v>1644</v>
      </c>
      <c r="E50" s="4" t="s">
        <v>1645</v>
      </c>
      <c r="F50" s="4" t="s">
        <v>1646</v>
      </c>
    </row>
    <row r="51" customFormat="false" ht="169.5" hidden="false" customHeight="true" outlineLevel="0" collapsed="false">
      <c r="A51" s="9" t="s">
        <v>18</v>
      </c>
      <c r="B51" s="4" t="s">
        <v>1647</v>
      </c>
      <c r="C51" s="4" t="s">
        <v>1648</v>
      </c>
      <c r="D51" s="4" t="s">
        <v>1649</v>
      </c>
      <c r="E51" s="4" t="s">
        <v>1650</v>
      </c>
      <c r="F51" s="4" t="s">
        <v>1651</v>
      </c>
    </row>
    <row r="52" customFormat="false" ht="169.5" hidden="false" customHeight="true" outlineLevel="0" collapsed="false">
      <c r="A52" s="9" t="s">
        <v>19</v>
      </c>
      <c r="B52" s="4" t="s">
        <v>1652</v>
      </c>
      <c r="C52" s="4" t="s">
        <v>1653</v>
      </c>
      <c r="D52" s="4" t="s">
        <v>1649</v>
      </c>
      <c r="E52" s="4" t="s">
        <v>1654</v>
      </c>
      <c r="F52" s="4" t="s">
        <v>1655</v>
      </c>
    </row>
    <row r="53" customFormat="false" ht="169.5" hidden="false" customHeight="true" outlineLevel="0" collapsed="false">
      <c r="A53" s="9" t="s">
        <v>20</v>
      </c>
      <c r="B53" s="4" t="s">
        <v>1656</v>
      </c>
      <c r="C53" s="4" t="s">
        <v>1657</v>
      </c>
      <c r="D53" s="4" t="s">
        <v>1649</v>
      </c>
      <c r="E53" s="4" t="s">
        <v>1658</v>
      </c>
      <c r="F53" s="4" t="s">
        <v>1659</v>
      </c>
    </row>
    <row r="54" customFormat="false" ht="169.5" hidden="false" customHeight="true" outlineLevel="0" collapsed="false">
      <c r="A54" s="9" t="s">
        <v>21</v>
      </c>
      <c r="B54" s="4" t="s">
        <v>1660</v>
      </c>
      <c r="C54" s="4" t="s">
        <v>1661</v>
      </c>
      <c r="D54" s="4" t="s">
        <v>1644</v>
      </c>
      <c r="E54" s="4" t="s">
        <v>1662</v>
      </c>
      <c r="F54" s="4" t="s">
        <v>1663</v>
      </c>
    </row>
    <row r="56" customFormat="false" ht="15" hidden="false" customHeight="false" outlineLevel="0" collapsed="false">
      <c r="A56" s="8" t="s">
        <v>1664</v>
      </c>
    </row>
    <row r="57" customFormat="false" ht="31.5" hidden="false" customHeight="true" outlineLevel="0" collapsed="false">
      <c r="A57" s="12" t="s">
        <v>1665</v>
      </c>
      <c r="B57" s="12"/>
      <c r="C57" s="12"/>
      <c r="D57" s="12"/>
      <c r="E57" s="12"/>
      <c r="F57" s="12"/>
    </row>
    <row r="58" customFormat="false" ht="31.5" hidden="false" customHeight="true" outlineLevel="0" collapsed="false">
      <c r="A58" s="12" t="s">
        <v>1666</v>
      </c>
      <c r="B58" s="12"/>
      <c r="C58" s="12"/>
      <c r="D58" s="12"/>
      <c r="E58" s="12"/>
      <c r="F58" s="12"/>
    </row>
    <row r="59" customFormat="false" ht="31.5" hidden="false" customHeight="true" outlineLevel="0" collapsed="false">
      <c r="A59" s="12" t="s">
        <v>1667</v>
      </c>
      <c r="B59" s="12"/>
      <c r="C59" s="12"/>
      <c r="D59" s="12"/>
      <c r="E59" s="12"/>
      <c r="F59" s="12"/>
    </row>
    <row r="60" customFormat="false" ht="31.5" hidden="false" customHeight="true" outlineLevel="0" collapsed="false">
      <c r="A60" s="12" t="s">
        <v>1668</v>
      </c>
      <c r="B60" s="12"/>
      <c r="C60" s="12"/>
      <c r="D60" s="12"/>
      <c r="E60" s="12"/>
      <c r="F60" s="12"/>
    </row>
    <row r="61" customFormat="false" ht="31.5" hidden="false" customHeight="true" outlineLevel="0" collapsed="false">
      <c r="A61" s="12" t="s">
        <v>1669</v>
      </c>
      <c r="B61" s="12"/>
      <c r="C61" s="12"/>
      <c r="D61" s="12"/>
      <c r="E61" s="12"/>
      <c r="F61" s="12"/>
    </row>
    <row r="62" customFormat="false" ht="31.5" hidden="false" customHeight="true" outlineLevel="0" collapsed="false">
      <c r="A62" s="12" t="s">
        <v>1670</v>
      </c>
      <c r="B62" s="12"/>
      <c r="C62" s="12"/>
      <c r="D62" s="12"/>
      <c r="E62" s="12"/>
      <c r="F62" s="12"/>
    </row>
    <row r="63" customFormat="false" ht="31.5" hidden="false" customHeight="true" outlineLevel="0" collapsed="false">
      <c r="A63" s="12" t="s">
        <v>1671</v>
      </c>
      <c r="B63" s="12"/>
      <c r="C63" s="12"/>
      <c r="D63" s="12"/>
      <c r="E63" s="12"/>
      <c r="F63" s="12"/>
    </row>
    <row r="64" customFormat="false" ht="31.5" hidden="false" customHeight="true" outlineLevel="0" collapsed="false">
      <c r="A64" s="12" t="s">
        <v>1672</v>
      </c>
      <c r="B64" s="12"/>
      <c r="C64" s="12"/>
      <c r="D64" s="12"/>
      <c r="E64" s="12"/>
      <c r="F64" s="12"/>
    </row>
    <row r="65" customFormat="false" ht="31.5" hidden="false" customHeight="true" outlineLevel="0" collapsed="false">
      <c r="A65" s="12" t="s">
        <v>1673</v>
      </c>
      <c r="B65" s="12"/>
      <c r="C65" s="12"/>
      <c r="D65" s="12"/>
      <c r="E65" s="12"/>
      <c r="F65" s="12"/>
    </row>
    <row r="66" customFormat="false" ht="31.5" hidden="false" customHeight="true" outlineLevel="0" collapsed="false">
      <c r="A66" s="12" t="s">
        <v>1674</v>
      </c>
      <c r="B66" s="12"/>
      <c r="C66" s="12"/>
      <c r="D66" s="12"/>
      <c r="E66" s="12"/>
      <c r="F66" s="12"/>
    </row>
  </sheetData>
  <mergeCells count="12">
    <mergeCell ref="A24:K24"/>
    <mergeCell ref="A42:C42"/>
    <mergeCell ref="A57:F57"/>
    <mergeCell ref="A58:F58"/>
    <mergeCell ref="A59:F59"/>
    <mergeCell ref="A60:F60"/>
    <mergeCell ref="A61:F61"/>
    <mergeCell ref="A62:F62"/>
    <mergeCell ref="A63:F63"/>
    <mergeCell ref="A64:F64"/>
    <mergeCell ref="A65:F65"/>
    <mergeCell ref="A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46"/>
    <col collapsed="false" customWidth="true" hidden="false" outlineLevel="0" max="5" min="5" style="0" width="52"/>
    <col collapsed="false" customWidth="true" hidden="false" outlineLevel="0" max="6" min="6" style="0" width="40"/>
    <col collapsed="false" customWidth="true" hidden="false" outlineLevel="0" max="7" min="7" style="0" width="18"/>
  </cols>
  <sheetData>
    <row r="1" customFormat="false" ht="17.35" hidden="false" customHeight="false" outlineLevel="0" collapsed="false">
      <c r="A1" s="6" t="s">
        <v>1675</v>
      </c>
    </row>
    <row r="2" customFormat="false" ht="43.5" hidden="false" customHeight="true" outlineLevel="0" collapsed="false">
      <c r="A2" s="11" t="s">
        <v>1676</v>
      </c>
      <c r="B2" s="11"/>
      <c r="C2" s="11"/>
      <c r="D2" s="11"/>
      <c r="E2" s="11"/>
      <c r="F2" s="11"/>
      <c r="G2" s="11"/>
    </row>
    <row r="4" customFormat="false" ht="15" hidden="false" customHeight="false" outlineLevel="0" collapsed="false">
      <c r="A4" s="1" t="s">
        <v>1572</v>
      </c>
      <c r="B4" s="13" t="s">
        <v>1677</v>
      </c>
      <c r="C4" s="14" t="s">
        <v>1678</v>
      </c>
      <c r="D4" s="15" t="s">
        <v>1679</v>
      </c>
      <c r="E4" s="1" t="s">
        <v>1680</v>
      </c>
      <c r="F4" s="1" t="s">
        <v>1681</v>
      </c>
      <c r="G4" s="1" t="s">
        <v>1682</v>
      </c>
    </row>
    <row r="5" customFormat="false" ht="150" hidden="false" customHeight="true" outlineLevel="0" collapsed="false">
      <c r="A5" s="9" t="s">
        <v>13</v>
      </c>
      <c r="B5" s="16" t="s">
        <v>1683</v>
      </c>
      <c r="C5" s="17" t="s">
        <v>1684</v>
      </c>
      <c r="D5" s="18" t="s">
        <v>1685</v>
      </c>
      <c r="E5" s="4" t="s">
        <v>1686</v>
      </c>
      <c r="F5" s="4" t="s">
        <v>1687</v>
      </c>
      <c r="G5" s="4" t="s">
        <v>1688</v>
      </c>
    </row>
    <row r="6" customFormat="false" ht="150" hidden="false" customHeight="true" outlineLevel="0" collapsed="false">
      <c r="A6" s="9" t="s">
        <v>14</v>
      </c>
      <c r="B6" s="16" t="s">
        <v>1689</v>
      </c>
      <c r="C6" s="17" t="s">
        <v>1690</v>
      </c>
      <c r="D6" s="18" t="s">
        <v>1691</v>
      </c>
      <c r="E6" s="4" t="s">
        <v>1692</v>
      </c>
      <c r="F6" s="4" t="s">
        <v>1693</v>
      </c>
      <c r="G6" s="4" t="s">
        <v>1688</v>
      </c>
    </row>
    <row r="7" customFormat="false" ht="150" hidden="false" customHeight="true" outlineLevel="0" collapsed="false">
      <c r="A7" s="9" t="s">
        <v>15</v>
      </c>
      <c r="B7" s="16" t="s">
        <v>1694</v>
      </c>
      <c r="C7" s="17" t="s">
        <v>1695</v>
      </c>
      <c r="D7" s="18" t="s">
        <v>1696</v>
      </c>
      <c r="E7" s="4" t="s">
        <v>1697</v>
      </c>
      <c r="F7" s="4" t="s">
        <v>1698</v>
      </c>
      <c r="G7" s="4" t="s">
        <v>1699</v>
      </c>
    </row>
    <row r="8" customFormat="false" ht="150" hidden="false" customHeight="true" outlineLevel="0" collapsed="false">
      <c r="A8" s="9" t="s">
        <v>124</v>
      </c>
      <c r="B8" s="16" t="s">
        <v>1700</v>
      </c>
      <c r="C8" s="17" t="s">
        <v>1701</v>
      </c>
      <c r="D8" s="18" t="s">
        <v>1702</v>
      </c>
      <c r="E8" s="4" t="s">
        <v>1703</v>
      </c>
      <c r="F8" s="4" t="s">
        <v>1704</v>
      </c>
      <c r="G8" s="4" t="s">
        <v>1699</v>
      </c>
    </row>
    <row r="9" customFormat="false" ht="150" hidden="false" customHeight="true" outlineLevel="0" collapsed="false">
      <c r="A9" s="9" t="s">
        <v>1705</v>
      </c>
      <c r="B9" s="16" t="s">
        <v>1706</v>
      </c>
      <c r="C9" s="17" t="s">
        <v>1707</v>
      </c>
      <c r="D9" s="18" t="s">
        <v>1708</v>
      </c>
      <c r="E9" s="4" t="s">
        <v>1709</v>
      </c>
      <c r="F9" s="4" t="s">
        <v>1710</v>
      </c>
      <c r="G9" s="4" t="s">
        <v>1711</v>
      </c>
    </row>
    <row r="10" customFormat="false" ht="150" hidden="false" customHeight="true" outlineLevel="0" collapsed="false">
      <c r="A10" s="9" t="s">
        <v>17</v>
      </c>
      <c r="B10" s="16" t="s">
        <v>1712</v>
      </c>
      <c r="C10" s="17" t="s">
        <v>1713</v>
      </c>
      <c r="D10" s="18" t="s">
        <v>1714</v>
      </c>
      <c r="E10" s="4" t="s">
        <v>1715</v>
      </c>
      <c r="F10" s="4" t="s">
        <v>1716</v>
      </c>
      <c r="G10" s="4" t="s">
        <v>1717</v>
      </c>
    </row>
    <row r="11" customFormat="false" ht="150" hidden="false" customHeight="true" outlineLevel="0" collapsed="false">
      <c r="A11" s="9" t="s">
        <v>18</v>
      </c>
      <c r="B11" s="16" t="s">
        <v>1718</v>
      </c>
      <c r="C11" s="17" t="s">
        <v>1719</v>
      </c>
      <c r="D11" s="18" t="s">
        <v>1720</v>
      </c>
      <c r="E11" s="4" t="s">
        <v>1721</v>
      </c>
      <c r="F11" s="4" t="s">
        <v>1722</v>
      </c>
      <c r="G11" s="4" t="s">
        <v>1711</v>
      </c>
    </row>
    <row r="12" customFormat="false" ht="150" hidden="false" customHeight="true" outlineLevel="0" collapsed="false">
      <c r="A12" s="9" t="s">
        <v>19</v>
      </c>
      <c r="B12" s="16" t="s">
        <v>1723</v>
      </c>
      <c r="C12" s="17" t="s">
        <v>1724</v>
      </c>
      <c r="D12" s="18" t="s">
        <v>1725</v>
      </c>
      <c r="E12" s="4" t="s">
        <v>1726</v>
      </c>
      <c r="F12" s="4" t="s">
        <v>1727</v>
      </c>
      <c r="G12" s="4" t="s">
        <v>1711</v>
      </c>
    </row>
    <row r="13" customFormat="false" ht="150" hidden="false" customHeight="true" outlineLevel="0" collapsed="false">
      <c r="A13" s="9" t="s">
        <v>20</v>
      </c>
      <c r="B13" s="16" t="s">
        <v>1728</v>
      </c>
      <c r="C13" s="17" t="s">
        <v>1729</v>
      </c>
      <c r="D13" s="18" t="s">
        <v>1730</v>
      </c>
      <c r="E13" s="4" t="s">
        <v>1731</v>
      </c>
      <c r="F13" s="4" t="s">
        <v>1732</v>
      </c>
      <c r="G13" s="4" t="s">
        <v>1711</v>
      </c>
    </row>
    <row r="14" customFormat="false" ht="150" hidden="false" customHeight="true" outlineLevel="0" collapsed="false">
      <c r="A14" s="9" t="s">
        <v>1733</v>
      </c>
      <c r="B14" s="16" t="s">
        <v>1734</v>
      </c>
      <c r="C14" s="17" t="s">
        <v>1735</v>
      </c>
      <c r="D14" s="18" t="s">
        <v>1736</v>
      </c>
      <c r="E14" s="4" t="s">
        <v>1737</v>
      </c>
      <c r="F14" s="4" t="s">
        <v>1738</v>
      </c>
      <c r="G14" s="4" t="s">
        <v>1739</v>
      </c>
    </row>
    <row r="15" customFormat="false" ht="150" hidden="false" customHeight="true" outlineLevel="0" collapsed="false">
      <c r="A15" s="9" t="s">
        <v>1740</v>
      </c>
      <c r="B15" s="16" t="s">
        <v>1741</v>
      </c>
      <c r="C15" s="17" t="s">
        <v>1742</v>
      </c>
      <c r="D15" s="18" t="s">
        <v>1743</v>
      </c>
      <c r="E15" s="4" t="s">
        <v>1744</v>
      </c>
      <c r="F15" s="4" t="s">
        <v>1745</v>
      </c>
      <c r="G15" s="4" t="s">
        <v>1746</v>
      </c>
    </row>
    <row r="17" customFormat="false" ht="15" hidden="false" customHeight="false" outlineLevel="0" collapsed="false">
      <c r="A17" s="8" t="s">
        <v>1747</v>
      </c>
    </row>
    <row r="18" customFormat="false" ht="15" hidden="false" customHeight="false" outlineLevel="0" collapsed="false">
      <c r="A18" s="1" t="s">
        <v>1748</v>
      </c>
      <c r="B18" s="1" t="s">
        <v>1677</v>
      </c>
      <c r="C18" s="1" t="s">
        <v>1678</v>
      </c>
      <c r="D18" s="1" t="s">
        <v>1679</v>
      </c>
    </row>
    <row r="19" customFormat="false" ht="60" hidden="false" customHeight="true" outlineLevel="0" collapsed="false">
      <c r="A19" s="9" t="s">
        <v>1749</v>
      </c>
      <c r="B19" s="16" t="s">
        <v>1750</v>
      </c>
      <c r="C19" s="17" t="s">
        <v>1751</v>
      </c>
      <c r="D19" s="18" t="s">
        <v>1751</v>
      </c>
    </row>
    <row r="20" customFormat="false" ht="60" hidden="false" customHeight="true" outlineLevel="0" collapsed="false">
      <c r="A20" s="9" t="s">
        <v>124</v>
      </c>
      <c r="B20" s="16" t="s">
        <v>1752</v>
      </c>
      <c r="C20" s="17" t="s">
        <v>1753</v>
      </c>
      <c r="D20" s="18" t="s">
        <v>1754</v>
      </c>
    </row>
    <row r="21" customFormat="false" ht="60" hidden="false" customHeight="true" outlineLevel="0" collapsed="false">
      <c r="A21" s="9" t="s">
        <v>1755</v>
      </c>
      <c r="B21" s="16" t="s">
        <v>1756</v>
      </c>
      <c r="C21" s="17" t="s">
        <v>1757</v>
      </c>
      <c r="D21" s="18" t="s">
        <v>1758</v>
      </c>
    </row>
    <row r="22" customFormat="false" ht="60" hidden="false" customHeight="true" outlineLevel="0" collapsed="false">
      <c r="A22" s="9" t="s">
        <v>1100</v>
      </c>
      <c r="B22" s="16" t="s">
        <v>1759</v>
      </c>
      <c r="C22" s="17" t="s">
        <v>1760</v>
      </c>
      <c r="D22" s="18" t="s">
        <v>1761</v>
      </c>
    </row>
    <row r="23" customFormat="false" ht="60" hidden="false" customHeight="true" outlineLevel="0" collapsed="false">
      <c r="A23" s="9" t="s">
        <v>13</v>
      </c>
      <c r="B23" s="16" t="s">
        <v>1762</v>
      </c>
      <c r="C23" s="17" t="s">
        <v>1763</v>
      </c>
      <c r="D23" s="18" t="s">
        <v>1764</v>
      </c>
    </row>
    <row r="24" customFormat="false" ht="60" hidden="false" customHeight="true" outlineLevel="0" collapsed="false">
      <c r="A24" s="9" t="s">
        <v>1765</v>
      </c>
      <c r="B24" s="16" t="s">
        <v>1766</v>
      </c>
      <c r="C24" s="17" t="s">
        <v>1767</v>
      </c>
      <c r="D24" s="18" t="s">
        <v>1768</v>
      </c>
    </row>
    <row r="25" customFormat="false" ht="60" hidden="false" customHeight="true" outlineLevel="0" collapsed="false">
      <c r="A25" s="9" t="s">
        <v>1769</v>
      </c>
      <c r="B25" s="16" t="s">
        <v>1770</v>
      </c>
      <c r="C25" s="17" t="s">
        <v>1771</v>
      </c>
      <c r="D25" s="18" t="s">
        <v>1772</v>
      </c>
    </row>
    <row r="26" customFormat="false" ht="60" hidden="false" customHeight="true" outlineLevel="0" collapsed="false">
      <c r="A26" s="9" t="s">
        <v>1773</v>
      </c>
      <c r="B26" s="16" t="s">
        <v>1774</v>
      </c>
      <c r="C26" s="17" t="s">
        <v>1775</v>
      </c>
      <c r="D26" s="18" t="s">
        <v>1776</v>
      </c>
    </row>
    <row r="27" customFormat="false" ht="60" hidden="false" customHeight="true" outlineLevel="0" collapsed="false">
      <c r="A27" s="9" t="s">
        <v>1777</v>
      </c>
      <c r="B27" s="16" t="s">
        <v>1778</v>
      </c>
      <c r="C27" s="17" t="s">
        <v>1779</v>
      </c>
      <c r="D27" s="18" t="s">
        <v>1780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22"/>
    <col collapsed="false" customWidth="true" hidden="false" outlineLevel="0" max="4" min="4" style="0" width="50"/>
    <col collapsed="false" customWidth="true" hidden="false" outlineLevel="0" max="5" min="5" style="0" width="14"/>
    <col collapsed="false" customWidth="true" hidden="false" outlineLevel="0" max="6" min="6" style="0" width="50"/>
  </cols>
  <sheetData>
    <row r="1" customFormat="false" ht="17.35" hidden="false" customHeight="false" outlineLevel="0" collapsed="false">
      <c r="A1" s="6" t="s">
        <v>1781</v>
      </c>
    </row>
    <row r="3" customFormat="false" ht="23.85" hidden="false" customHeight="false" outlineLevel="0" collapsed="false">
      <c r="A3" s="1" t="s">
        <v>1</v>
      </c>
      <c r="B3" s="1" t="s">
        <v>1782</v>
      </c>
      <c r="C3" s="1" t="s">
        <v>1783</v>
      </c>
      <c r="D3" s="1" t="s">
        <v>1784</v>
      </c>
      <c r="E3" s="1" t="s">
        <v>1785</v>
      </c>
      <c r="F3" s="1" t="s">
        <v>1786</v>
      </c>
    </row>
    <row r="4" customFormat="false" ht="69.75" hidden="false" customHeight="true" outlineLevel="0" collapsed="false">
      <c r="A4" s="4" t="s">
        <v>35</v>
      </c>
      <c r="B4" s="4" t="s">
        <v>36</v>
      </c>
      <c r="C4" s="4" t="s">
        <v>37</v>
      </c>
      <c r="D4" s="4" t="s">
        <v>1787</v>
      </c>
      <c r="E4" s="4" t="n">
        <f aca="false">COUNTIF('Consolidated Data'!$B$2:$B$231,"Laura Lopez")</f>
        <v>215</v>
      </c>
      <c r="F4" s="4" t="s">
        <v>1788</v>
      </c>
    </row>
    <row r="5" customFormat="false" ht="69.75" hidden="false" customHeight="true" outlineLevel="0" collapsed="false">
      <c r="A5" s="4" t="s">
        <v>1421</v>
      </c>
      <c r="B5" s="4" t="s">
        <v>1422</v>
      </c>
      <c r="C5" s="4" t="s">
        <v>1423</v>
      </c>
      <c r="D5" s="4" t="s">
        <v>1789</v>
      </c>
      <c r="E5" s="4" t="n">
        <f aca="false">COUNTIF('Consolidated Data'!$B$2:$B$231,"Ken Witzgall")</f>
        <v>2</v>
      </c>
      <c r="F5" s="4" t="s">
        <v>1790</v>
      </c>
    </row>
    <row r="6" customFormat="false" ht="69.75" hidden="false" customHeight="true" outlineLevel="0" collapsed="false">
      <c r="A6" s="4" t="s">
        <v>1455</v>
      </c>
      <c r="B6" s="4" t="s">
        <v>1456</v>
      </c>
      <c r="C6" s="4" t="s">
        <v>1457</v>
      </c>
      <c r="D6" s="4" t="s">
        <v>1791</v>
      </c>
      <c r="E6" s="4" t="n">
        <f aca="false">COUNTIF('Consolidated Data'!$B$2:$B$231,"Scott Wood")</f>
        <v>2</v>
      </c>
      <c r="F6" s="4" t="s">
        <v>1792</v>
      </c>
    </row>
    <row r="7" customFormat="false" ht="69.75" hidden="false" customHeight="true" outlineLevel="0" collapsed="false">
      <c r="A7" s="4" t="s">
        <v>1471</v>
      </c>
      <c r="B7" s="4" t="s">
        <v>1472</v>
      </c>
      <c r="C7" s="4" t="s">
        <v>1457</v>
      </c>
      <c r="D7" s="4" t="s">
        <v>1793</v>
      </c>
      <c r="E7" s="4" t="n">
        <f aca="false">COUNTIF('Consolidated Data'!$B$2:$B$231,"Jennifer Saxman")</f>
        <v>11</v>
      </c>
      <c r="F7" s="4" t="s">
        <v>1794</v>
      </c>
    </row>
    <row r="9" customFormat="false" ht="15" hidden="false" customHeight="false" outlineLevel="0" collapsed="false">
      <c r="A9" s="8" t="s">
        <v>1795</v>
      </c>
    </row>
    <row r="10" customFormat="false" ht="43.5" hidden="false" customHeight="true" outlineLevel="0" collapsed="false">
      <c r="A10" s="12" t="s">
        <v>1796</v>
      </c>
      <c r="B10" s="12"/>
      <c r="C10" s="12"/>
      <c r="D10" s="12"/>
      <c r="E10" s="12"/>
      <c r="F10" s="12"/>
    </row>
    <row r="11" customFormat="false" ht="43.5" hidden="false" customHeight="true" outlineLevel="0" collapsed="false">
      <c r="A11" s="12" t="s">
        <v>1797</v>
      </c>
      <c r="B11" s="12"/>
      <c r="C11" s="12"/>
      <c r="D11" s="12"/>
      <c r="E11" s="12"/>
      <c r="F11" s="12"/>
    </row>
    <row r="12" customFormat="false" ht="43.5" hidden="false" customHeight="true" outlineLevel="0" collapsed="false">
      <c r="A12" s="12" t="s">
        <v>1798</v>
      </c>
      <c r="B12" s="12"/>
      <c r="C12" s="12"/>
      <c r="D12" s="12"/>
      <c r="E12" s="12"/>
      <c r="F12" s="12"/>
    </row>
    <row r="13" customFormat="false" ht="43.5" hidden="false" customHeight="true" outlineLevel="0" collapsed="false">
      <c r="A13" s="12" t="s">
        <v>1799</v>
      </c>
      <c r="B13" s="12"/>
      <c r="C13" s="12"/>
      <c r="D13" s="12"/>
      <c r="E13" s="12"/>
      <c r="F13" s="12"/>
    </row>
    <row r="14" customFormat="false" ht="43.5" hidden="false" customHeight="true" outlineLevel="0" collapsed="false">
      <c r="A14" s="12" t="s">
        <v>1800</v>
      </c>
      <c r="B14" s="12"/>
      <c r="C14" s="12"/>
      <c r="D14" s="12"/>
      <c r="E14" s="12"/>
      <c r="F14" s="12"/>
    </row>
    <row r="15" customFormat="false" ht="43.5" hidden="false" customHeight="true" outlineLevel="0" collapsed="false">
      <c r="A15" s="12" t="s">
        <v>1801</v>
      </c>
      <c r="B15" s="12"/>
      <c r="C15" s="12"/>
      <c r="D15" s="12"/>
      <c r="E15" s="12"/>
      <c r="F15" s="12"/>
    </row>
    <row r="16" customFormat="false" ht="43.5" hidden="false" customHeight="true" outlineLevel="0" collapsed="false">
      <c r="A16" s="12" t="s">
        <v>1802</v>
      </c>
      <c r="B16" s="12"/>
      <c r="C16" s="12"/>
      <c r="D16" s="12"/>
      <c r="E16" s="12"/>
      <c r="F16" s="12"/>
    </row>
    <row r="17" customFormat="false" ht="43.5" hidden="false" customHeight="true" outlineLevel="0" collapsed="false">
      <c r="A17" s="12" t="s">
        <v>1803</v>
      </c>
      <c r="B17" s="12"/>
      <c r="C17" s="12"/>
      <c r="D17" s="12"/>
      <c r="E17" s="12"/>
      <c r="F17" s="12"/>
    </row>
  </sheetData>
  <mergeCells count="8">
    <mergeCell ref="A10:F10"/>
    <mergeCell ref="A11:F11"/>
    <mergeCell ref="A12:F12"/>
    <mergeCell ref="A13:F13"/>
    <mergeCell ref="A14:F14"/>
    <mergeCell ref="A15:F15"/>
    <mergeCell ref="A16:F16"/>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2026-09-17T13:40:34Z</dcterms:created>
  <dc:creator>openpyxl</dc:creator>
  <dc:description/>
  <dc:language>en-US</dc:language>
  <cp:lastModifiedBy/>
  <dcterms:modified xsi:type="dcterms:W3CDTF">2026-09-17T13:40:34Z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
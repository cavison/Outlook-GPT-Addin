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Talking Points" sheetId="2" state="visible" r:id="rId4"/>
    <sheet name="Consolidated Data" sheetId="3" state="visible" r:id="rId5"/>
    <sheet name="Synthesis" sheetId="4" state="visible" r:id="rId6"/>
    <sheet name="Good-Better-Best" sheetId="5" state="visible" r:id="rId7"/>
    <sheet name="Service Grid (MIM)" sheetId="6" state="visible" r:id="rId8"/>
    <sheet name="Service Elements" sheetId="7" state="visible" r:id="rId9"/>
    <sheet name="Service Docs Linear" sheetId="8" state="visible" r:id="rId10"/>
    <sheet name="Transportation Detail" sheetId="9" state="visible" r:id="rId11"/>
    <sheet name="Sources &amp; Method" sheetId="10" state="visible" r:id="rId12"/>
  </sheets>
  <definedNames>
    <definedName function="false" hidden="true" localSheetId="2" name="_xlnm._FilterDatabase" vbProcedure="false">'Consolidated Data'!$A$1:$AI$231</definedName>
    <definedName function="false" hidden="true" localSheetId="4" name="_xlnm._FilterDatabase" vbProcedure="false">'Good-Better-Best'!$A$4:$F$34</definedName>
    <definedName function="false" hidden="true" localSheetId="7" name="_xlnm._FilterDatabase" vbProcedure="false">'Service Docs Linear'!$A$4:$F$37</definedName>
    <definedName function="false" hidden="true" localSheetId="6" name="_xlnm._FilterDatabase" vbProcedure="false">'Service Elements'!$A$4:$H$75</definedName>
    <definedName function="false" hidden="true" localSheetId="5" name="_xlnm._FilterDatabase" vbProcedure="false">'Service Grid (MIM)'!$A$5:$G$22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N1" authorId="0">
      <text>
        <r>
          <rPr>
            <sz val="10"/>
            <rFont val="Arial"/>
            <family val="2"/>
          </rPr>
          <t xml:space="preserve">Service columns are tinted by status: green = included, amber = available at extra cost, orange = not provided, grey = not stated. Rows are tinted by source: white/blue = Laura Lopez, yellow = Ken Witzgall, green = Scott Wood, orange = Jennifer Saxman.</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<sst xmlns="http://schemas.openxmlformats.org/spreadsheetml/2006/main" count="7243" uniqueCount="2795">
  <si>
    <t xml:space="preserve">Cottage &amp; Villa Service Benchmark — Start Here</t>
  </si>
  <si>
    <t xml:space="preserve">Purpose: decide which services to offer cottage residents, function by function, at three levels. Built from four sources plus a two-round web research and verification pass.</t>
  </si>
  <si>
    <t xml:space="preserve">Tab</t>
  </si>
  <si>
    <t xml:space="preserve">What it is</t>
  </si>
  <si>
    <t xml:space="preserve">How to read it</t>
  </si>
  <si>
    <t xml:space="preserve">Use it when</t>
  </si>
  <si>
    <t xml:space="preserve">1. Talking Points</t>
  </si>
  <si>
    <t xml:space="preserve">A briefing layer: how to explain this to someone else. Ten functions, each with the same six beats.</t>
  </si>
  <si>
    <t xml:space="preserve">Read one row left to right and you have the whole story for that function. Read down a column to compare the same beat across functions. Opening lines, universal truths, caveats to disclose and likely questions are above and below the grid.</t>
  </si>
  <si>
    <t xml:space="preserve">You have to present or defend this analysis.</t>
  </si>
  <si>
    <t xml:space="preserve">2. Consolidated Data</t>
  </si>
  <si>
    <t xml:space="preserve">Every community and model from all four sources, ONE ROW PER PROPERTY. 230 rows, 35 columns.</t>
  </si>
  <si>
    <t xml:space="preserve">Rows are colour-banded by source: white/blue = Laura Lopez, yellow = Ken Witzgall, green = Scott Wood, orange = Jennifer Saxman. The nine service columns are tinted by status — green = included, amber = available at extra cost, orange = not provided, grey = not stated. Freeze panes hold the community name while you scroll right. Use the filter arrows in row 1.</t>
  </si>
  <si>
    <t xml:space="preserve">You want the raw evidence for one community, or want to filter to a state, operator or service.</t>
  </si>
  <si>
    <t xml:space="preserve">3. Synthesis</t>
  </si>
  <si>
    <t xml:space="preserve">What the data adds up to: live counts of how often each service is included, a pricing snapshot, and a function-by-function comparison of what each of the four sources says.</t>
  </si>
  <si>
    <t xml:space="preserve">Section 1 counts are live formulas over the Consolidated Data tab, so they update if you edit rows. Section 3 is the narrative comparison. Section 4 lists the cross-source observations.</t>
  </si>
  <si>
    <t xml:space="preserve">You want the "so what" without reading 230 rows, or need a number to quote.</t>
  </si>
  <si>
    <t xml:space="preserve">4. Good-Better-Best</t>
  </si>
  <si>
    <t xml:space="preserve">THE RECOMMENDATION. One block per function, with three rows each: GOOD, BETTER, BEST.</t>
  </si>
  <si>
    <t xml:space="preserve">Read any single row to see what to offer at that level. Green / blue / orange bands mark the level. The Function, evidence and price columns are merged across each block of three because they apply to the whole function.</t>
  </si>
  <si>
    <t xml:space="preserve">You are deciding what the product should actually include.</t>
  </si>
  <si>
    <t xml:space="preserve">5. Service Elements</t>
  </si>
  <si>
    <t xml:space="preserve">The detail behind tab 3: every individual service element, with an Included / A la carte / Not offered call at each level.</t>
  </si>
  <si>
    <t xml:space="preserve">Green = included in the fee, amber = available at a posted price, grey = not offered. The prevalence column shows how many of the 215 villa-study communities mention that element.</t>
  </si>
  <si>
    <t xml:space="preserve">You are building the actual service spec or the a la carte price list.</t>
  </si>
  <si>
    <t xml:space="preserve">6. Transportation Detail</t>
  </si>
  <si>
    <t xml:space="preserve">A deep dive on one function, because all 55 transportation entries in the villa study said only the word "Transportation".</t>
  </si>
  <si>
    <t xml:space="preserve">Sections A to G. Section B lists the five service models found. Section D is the community evidence with a verification status on each row. Section E answers the cottage-versus-apartment question. SECTION F MATTERS: it explains what is verified and what was found to be fabricated.</t>
  </si>
  <si>
    <t xml:space="preserve">You need to know what "transportation included" actually means, or want the template for researching the other functions.</t>
  </si>
  <si>
    <t xml:space="preserve">7. Sources &amp; Method</t>
  </si>
  <si>
    <t xml:space="preserve">Attribution, caveats and how the analysis was built.</t>
  </si>
  <si>
    <t xml:space="preserve">One row per source, with what it contributes and what to distrust.</t>
  </si>
  <si>
    <t xml:space="preserve">You are checking where a number came from, or preparing to share this externally.</t>
  </si>
  <si>
    <t xml:space="preserve">The three levels, in one line each</t>
  </si>
  <si>
    <t xml:space="preserve">GOOD — Maintenance-Free Essentials</t>
  </si>
  <si>
    <t xml:space="preserve">Remove the work of owning a house, and nothing more. Maintenance, grounds, snow, base utilities, emergency response, a scheduled shuttle and full campus access. Dining, housekeeping and convenience services are bought separately at published prices.</t>
  </si>
  <si>
    <t xml:space="preserve">BETTER — Base + Choice</t>
  </si>
  <si>
    <t xml:space="preserve">The maintenance-free floor, plus a bundled mid-level package: bi-weekly housekeeping, full utilities with cable and Wi-Fi, a monthly dining credit, a wellness clinic, and weekday medical transport. Everything else sits on a published add-on menu billed monthly.</t>
  </si>
  <si>
    <t xml:space="preserve">BEST — Bundled Villa Experience</t>
  </si>
  <si>
    <t xml:space="preserve">An all-inclusive fee: weekly housekeeping with linen, a daily meal with delivery, all utilities, 24/7 concierge, a personal trip allowance, a wellness allowance and enhanced security.</t>
  </si>
  <si>
    <t xml:space="preserve">Three things to know before you rely on this</t>
  </si>
  <si>
    <t xml:space="preserve">• The four sources describe services at very different depths. The villa study is an inventory of what community websites advertised in October 2023, so "not stated" usually means the website did not list it, not that the service is absent.</t>
  </si>
  <si>
    <t xml:space="preserve">• Nothing in the market research could be read directly from community websites; this environment blocks them. Findings come from web search, and every important quote was re-tested. Several plausible-sounding details turned out to be fabricated by directory sites and were removed. Section F of the Transportation Detail tab documents this.</t>
  </si>
  <si>
    <t xml:space="preserve">• Price is deliberately secondary throughout. The unit price point will later decide which level fits which product, but the decision being made now is what services to offer. Source price references are kept in the last column of tab 3 for that later step.</t>
  </si>
  <si>
    <t xml:space="preserve">Talking Points — how to explain this, function by function</t>
  </si>
  <si>
    <t xml:space="preserve">Every function below uses the SAME SIX BEATS, so you can explain any of them the same way. Read one row left to right and you have the whole story for that function: the headline, what the market actually does, how much it varies, the decision we are making, the thing to disclose, and our recommendation. The beats are colour-coded by column so you can also read down a single beat across all ten functions.</t>
  </si>
  <si>
    <t xml:space="preserve">Open with these four lines</t>
  </si>
  <si>
    <t xml:space="preserve">What this is</t>
  </si>
  <si>
    <t xml:space="preserve">Four internal sources consolidated into one place — a 215-community villa study, a rental-model report, and two operator emails — plus our own research across about fifty communities to fill the gaps.</t>
  </si>
  <si>
    <t xml:space="preserve">The single most important finding</t>
  </si>
  <si>
    <t xml:space="preserve">There is no standard cottage service model. What IS consistent is that every operator removes the work of owning a house. Almost everything beyond that varies.</t>
  </si>
  <si>
    <t xml:space="preserve">What we are proposing</t>
  </si>
  <si>
    <t xml:space="preserve">A Base plus Choice structure. Include the services that remove homeownership burden, then let residents buy convenience. Two of our four sources arrived at that same structure independently.</t>
  </si>
  <si>
    <t xml:space="preserve">What we are not deciding yet</t>
  </si>
  <si>
    <t xml:space="preserve">Price. The unit price point will eventually decide which service level fits which product, but the decision in front of us is which services to offer.</t>
  </si>
  <si>
    <t xml:space="preserve">Three things that are true across every function</t>
  </si>
  <si>
    <t xml:space="preserve">1. The universal core is maintenance, base utilities and emergency response.</t>
  </si>
  <si>
    <t xml:space="preserve">Where communities mention these at all, they include them: maintenance 99% of the time, utilities 98%, emergency response 97%. All four sources agree. These are table stakes at every level and should never be itemised.</t>
  </si>
  <si>
    <t xml:space="preserve">2. Dining and housekeeping vary the most, so they are the tiering levers.</t>
  </si>
  <si>
    <t xml:space="preserve">Only 68% of dining mentions are actually included — a third are optional or credit-based. Housekeeping ranges from monthly to weekly to not offered. These two functions are where Good, Better and Best genuinely differ.</t>
  </si>
  <si>
    <t xml:space="preserve">3. Operators publish almost nothing operational, which is an opportunity.</t>
  </si>
  <si>
    <t xml:space="preserve">Across about fifty communities researched in depth, not one published a service radius, days of the week, hours, a booking lead time, or a price for any paid service. Publishing plain terms would differentiate us on transparency at no operating cost.</t>
  </si>
  <si>
    <t xml:space="preserve">The six beats, for each function</t>
  </si>
  <si>
    <t xml:space="preserve">Function</t>
  </si>
  <si>
    <t xml:space="preserve">1. HEADLINE — lead with this</t>
  </si>
  <si>
    <t xml:space="preserve">2. WHAT THE MARKET DOES — the norm, with the number</t>
  </si>
  <si>
    <t xml:space="preserve">3. HOW MUCH IT VARIES — the spread</t>
  </si>
  <si>
    <t xml:space="preserve">4. THE LEVER — the decision we are making</t>
  </si>
  <si>
    <t xml:space="preserve">5. THE TRAP — disclose this</t>
  </si>
  <si>
    <t xml:space="preserve">6. OUR CALL — Good / Better / Best</t>
  </si>
  <si>
    <t xml:space="preserve">Maintenance, Grounds &amp; Snow</t>
  </si>
  <si>
    <t xml:space="preserve">This function IS the product. It is the only thing all four sources agree on completely.</t>
  </si>
  <si>
    <t xml:space="preserve">The most common inclusion in the study: 103 of 215 communities list it, and where it is mentioned it is included 99% of the time. Only one community anywhere prices it.</t>
  </si>
  <si>
    <t xml:space="preserve">Barely at all. What varies is responsiveness and scope, not whether it is included.</t>
  </si>
  <si>
    <t xml:space="preserve">How fast we respond, and whether resident-requested handyman work is included or billed.</t>
  </si>
  <si>
    <t xml:space="preserve">The risk here is operational, not competitive. Spread-out cottages raise staff travel time for maintenance, so a fast-response promise on a large site costs more than the same promise in an apartment building.</t>
  </si>
  <si>
    <t xml:space="preserve">Good: all exterior, grounds, snow and community-owned systems, business hours. Better: adds 24-hour emergency and preventive interior work. Best: adds monthly handyman hours, seasonal services and a scheduled interior refresh.</t>
  </si>
  <si>
    <t xml:space="preserve">Utilities, Taxes &amp; Insurance</t>
  </si>
  <si>
    <t xml:space="preserve">The most common line item in the whole study. The only question is how much of the bundle we carry.</t>
  </si>
  <si>
    <t xml:space="preserve">104 of 215 communities mention utilities and 98% of those include them. Cable and Wi-Fi appear at 77, electric and gas at 70, phone at only 29.</t>
  </si>
  <si>
    <t xml:space="preserve">Three clean levels: water, sewer and trash only; then all utilities plus cable and Wi-Fi; then everything including phone and premium packages.</t>
  </si>
  <si>
    <t xml:space="preserve">Where we draw the bundle line. This is a cost pass-through decision, not a service design decision.</t>
  </si>
  <si>
    <t xml:space="preserve">Property taxes and building insurance show up in the data, but they are an artefact of the ownership structure rather than a service we choose to offer. Do not let them muddle the service conversation.</t>
  </si>
  <si>
    <t xml:space="preserve">Good: water, sewer and trash. Better: all standard utilities plus basic cable and Wi-Fi. Best: adds phone and a premium package.</t>
  </si>
  <si>
    <t xml:space="preserve">Emergency, Safety &amp; Security</t>
  </si>
  <si>
    <t xml:space="preserve">Table stakes. It is cheap, and it answers the number one anxiety about living in a detached home.</t>
  </si>
  <si>
    <t xml:space="preserve">The second most common inclusion: 68 of 215 mention an emergency call system, included 97% of the time where mentioned. Gated entry or a security presence appears at only 20.</t>
  </si>
  <si>
    <t xml:space="preserve">The presence of a system barely varies. The device and the response behind it vary a lot.</t>
  </si>
  <si>
    <t xml:space="preserve">Whether the pendant works outside the home, and who responds how quickly across a spread-out site.</t>
  </si>
  <si>
    <t xml:space="preserve">No community anywhere publishes a response-time or capacity commitment. The rental-model report specifically warns that decentralised cottages slow emergency response, so this needs designing rather than assuming.</t>
  </si>
  <si>
    <t xml:space="preserve">Good: 24/7 monitored call system. Better: adds a campus-wide mobile pendant and a dedicated cottage response protocol. Best: adds gated entry, a 24-hour presence and in-home sensors.</t>
  </si>
  <si>
    <t xml:space="preserve">Housekeeping</t>
  </si>
  <si>
    <t xml:space="preserve">The easiest function to tier, because it is the only one with real prices in the market.</t>
  </si>
  <si>
    <t xml:space="preserve">68 of 215 mention housekeeping. Bi-weekly is the most common included cadence; 44 communities mention weekly.</t>
  </si>
  <si>
    <t xml:space="preserve">From not offered at all, through monthly and bi-weekly, up to weekly with linen service.</t>
  </si>
  <si>
    <t xml:space="preserve">Cadence. That is essentially the whole decision.</t>
  </si>
  <si>
    <t xml:space="preserve">Nothing to disclose here — this is the best-evidenced function in the study. Use it as the anchor when people ask whether the analysis is grounded.</t>
  </si>
  <si>
    <t xml:space="preserve">Good: not bundled, sold at a published rate. Better: bi-weekly included, weekly available. Best: weekly with flat linen and an annual deep clean.</t>
  </si>
  <si>
    <t xml:space="preserve">Culinary &amp; Dining</t>
  </si>
  <si>
    <t xml:space="preserve">The most variable function in the market, and the one most likely to be mis-specified for a cottage buyer.</t>
  </si>
  <si>
    <t xml:space="preserve">Only 53 of 215 mention dining at all, and just 68% of those actually include it. Seventeen of the 53 are optional or credit-based rather than a meal plan.</t>
  </si>
  <si>
    <t xml:space="preserve">The widest spread of any function: from no meals, to a weekly breakfast, to fifteen or thirty meals a month, to three meals a day.</t>
  </si>
  <si>
    <t xml:space="preserve">A declining-balance dining credit versus a fixed meal count. Cottages have full kitchens, so a heavy meal plan is a poor fit for most buyers.</t>
  </si>
  <si>
    <t xml:space="preserve">This is where resident expectations and reality diverge most, and where our own sources disagree most. One operator includes two meals, another includes one, a third includes none.</t>
  </si>
  <si>
    <t xml:space="preserve">Good: venue access at posted prices plus a weekly social breakfast. Better: daily breakfast plus a monthly dining credit, with plans priced separately. Best: a daily chef-prepared meal with delivery and a guest allowance.</t>
  </si>
  <si>
    <t xml:space="preserve">Transportation</t>
  </si>
  <si>
    <t xml:space="preserve">As published, the word is almost meaningless. Five genuinely different products hide behind it.</t>
  </si>
  <si>
    <t xml:space="preserve">55 of 215 communities list transportation — and every single one of those 55 entries is nothing but the bare word "Transportation".</t>
  </si>
  <si>
    <t xml:space="preserve">Five distinct models, from a free group shuttle only, to free-plus-paid-personal, to a private car for medical days, to fee-for-service throughout, to outings-only with appointments excluded entirely.</t>
  </si>
  <si>
    <t xml:space="preserve">Whether individual medical-appointment rides are included, or only group outings. That is the line operators actually draw.</t>
  </si>
  <si>
    <t xml:space="preserve">The biggest disclosure of all. Nobody publishes a radius, days, hours, booking lead time or price. Directory sites fabricate those details — we caught four fabrications, including a destination hospital that does not exist. And dialysis, the heaviest real demand, is never mentioned by any community.</t>
  </si>
  <si>
    <t xml:space="preserve">Good: group shuttle and outings, with appointments referred to third-party services and said plainly. Better: adds weekday medical rides door-to-door within a defined area, with all terms published. Best: adds a personal trip allowance, an on-campus circulator and escorted appointments.</t>
  </si>
  <si>
    <t xml:space="preserve">Life Enrichment &amp; Campus Amenities</t>
  </si>
  <si>
    <t xml:space="preserve">A universal inclusion at near-zero marginal cost. Never withhold it, but do not over-invest either.</t>
  </si>
  <si>
    <t xml:space="preserve">52 of 215 explicitly list campus amenity access and 96% of those include it. Both operator emails simply say cottage residents get the same as everyone else.</t>
  </si>
  <si>
    <t xml:space="preserve">Access barely varies. What varies is whether cottages get any programming of their own.</t>
  </si>
  <si>
    <t xml:space="preserve">Cottage-neighbourhood programming. Nobody in the data does it, and it is cheap.</t>
  </si>
  <si>
    <t xml:space="preserve">Outings, specialty classes and personal training are pay-per-use everywhere they are itemised, so do not imply they are free.</t>
  </si>
  <si>
    <t xml:space="preserve">Good: full access to the main community calendar and facilities. Better: adds cottage-neighbourhood programming and a liaison. Best: adds an enrichment credit and concierge booking.</t>
  </si>
  <si>
    <t xml:space="preserve">Wellness, Fitness &amp; Health</t>
  </si>
  <si>
    <t xml:space="preserve">Under-defined for cottages across the entire market. Mostly it just means access to the gym.</t>
  </si>
  <si>
    <t xml:space="preserve">49 of 215 mention fitness, pool or wellness access. Only 5 mention an actual wellness clinic. Medication management appears at zero.</t>
  </si>
  <si>
    <t xml:space="preserve">From campus access only, to a monthly clinic, to an annual wellness allowance with a care navigator.</t>
  </si>
  <si>
    <t xml:space="preserve">Whether we add a light-touch clinical presence, and exactly where we stop before it becomes care.</t>
  </si>
  <si>
    <t xml:space="preserve">Clinical services are universally à la carte or outsourced — do not bundle them. And dialysis or recurring therapy transport, which is operationally the heaviest demand, appears nowhere in the market at all.</t>
  </si>
  <si>
    <t xml:space="preserve">Good: fitness and pool access with clinical services by referral. Better: adds a monthly wellness clinic and an opt-in daily check-in. Best: adds a wellness allowance and a navigator who coordinates care.</t>
  </si>
  <si>
    <t xml:space="preserve">Laundry &amp; Linen</t>
  </si>
  <si>
    <t xml:space="preserve">Mostly a residence feature rather than a service. Do not over-think it.</t>
  </si>
  <si>
    <t xml:space="preserve">In-unit washer and dryer is the single most common item in the entire study, at 132 of 215 communities. Linen service appears at only 20.</t>
  </si>
  <si>
    <t xml:space="preserve">From the appliance alone, to an optional priced service, to weekly linen included.</t>
  </si>
  <si>
    <t xml:space="preserve">Whether linen service rides along with weekly housekeeping at the top tier.</t>
  </si>
  <si>
    <t xml:space="preserve">The easy mistake is confusing the appliance with the service. A washer in the unit is not a laundry offering.</t>
  </si>
  <si>
    <t xml:space="preserve">Good: in-unit washer and dryer, no service. Better: adds optional laundry and linen at a posted price. Best: weekly flat-linen service included.</t>
  </si>
  <si>
    <t xml:space="preserve">Concierge &amp; Convenience Services</t>
  </si>
  <si>
    <t xml:space="preserve">The cheapest way to differentiate, and what actually separates a Better product from a Good one.</t>
  </si>
  <si>
    <t xml:space="preserve">Thinly served in the market: only 31 of 215 communities list even one optional or priced service, and 24/7 concierge appears at just 10.</t>
  </si>
  <si>
    <t xml:space="preserve">From nothing at all, to a short price list, to a full published menu with a dedicated coordinator.</t>
  </si>
  <si>
    <t xml:space="preserve">Whether we publish a real à la carte menu. Two of our four sources recommend exactly that structure independently.</t>
  </si>
  <si>
    <t xml:space="preserve">At the Better level the menu IS the product. Without a published menu, "Base plus Choice" is just "Base", and residents experience it as things being unavailable rather than optional.</t>
  </si>
  <si>
    <t xml:space="preserve">Good: business-hours desk and a short posted price list. Better: a full published menu billed monthly, plus a shared cottage coordinator. Best: 24/7 concierge, a dedicated coordinator and a monthly convenience credit.</t>
  </si>
  <si>
    <t xml:space="preserve">Disclose these three things before anyone asks</t>
  </si>
  <si>
    <t xml:space="preserve">The villa study is a website scrape from October 2023.</t>
  </si>
  <si>
    <t xml:space="preserve">So "not stated" means the community website did not list that service, not that the service is absent. Roughly two thirds of the inventory is blank on any given function for that reason. Quote the inclusion rate among communities that DO mention a service, not the rate across all 215.</t>
  </si>
  <si>
    <t xml:space="preserve">Our market research could not read community websites directly.</t>
  </si>
  <si>
    <t xml:space="preserve">It came from web search, and several convincing details turned out to be invented by senior-living directory sites. We re-tested every important quote and removed four fabrications. The verification method is documented on the Transportation Detail tab.</t>
  </si>
  <si>
    <t xml:space="preserve">Prices are almost entirely absent from the market.</t>
  </si>
  <si>
    <t xml:space="preserve">Not one community in the deep-dive research published a price for any paid service. Only one of our four sources has prices at all, and it is an AI-generated market profile rather than an operator disclosure, so treat its numbers as indicative ranges.</t>
  </si>
  <si>
    <t xml:space="preserve">Likely questions, and the honest answer</t>
  </si>
  <si>
    <t xml:space="preserve">Question</t>
  </si>
  <si>
    <t xml:space="preserve">Answer</t>
  </si>
  <si>
    <t xml:space="preserve">Where did all this come from?</t>
  </si>
  <si>
    <t xml:space="preserve">Four internal sources: a 215-community villa study, a rental-model report, and service tables from two operators. Then our own two-round web research across about fifty communities, focused on the functions the internal sources left vague.</t>
  </si>
  <si>
    <t xml:space="preserve">How many data points are we actually working from?</t>
  </si>
  <si>
    <t xml:space="preserve">230 rows in the consolidated tab: 215 communities from the villa study, eleven from the detached-cottage benchmarking, and two each from the two operator emails.</t>
  </si>
  <si>
    <t xml:space="preserve">How much of this would survive scrutiny?</t>
  </si>
  <si>
    <t xml:space="preserve">The internal source data is reported as received. The market research was verified quote by quote, and that verification changed our conclusions — it overturned our original finding on cottage eligibility and removed four fabricated details. Every market claim carries a status of verified, likely or falsified.</t>
  </si>
  <si>
    <t xml:space="preserve">Do cottage residents get less service than apartment residents?</t>
  </si>
  <si>
    <t xml:space="preserve">No. We tested that hard because we initially believed they did. Across seven detached-cottage communities there were zero verified cases of a lesser transportation tier, one case of a better one, and four of parity. What actually varies is whether the operator documents the terms at all.</t>
  </si>
  <si>
    <t xml:space="preserve">Why are there no prices in the recommendations?</t>
  </si>
  <si>
    <t xml:space="preserve">Because the market does not publish them, and because the service decision comes first. Price references from our sources sit in the last column of the recommendations tab for when we do set pricing.</t>
  </si>
  <si>
    <t xml:space="preserve">Did we talk to any operators?</t>
  </si>
  <si>
    <t xml:space="preserve">No. This is all desk research. The specific gaps that need a phone call are listed at the bottom of the Transportation Detail tab, and they are mostly operational: radius, hours, booking lead time and actual rates.</t>
  </si>
  <si>
    <t xml:space="preserve">If we only change three things, what should they be?</t>
  </si>
  <si>
    <t xml:space="preserve">Publish plain service terms, which nobody does. Put a real à la carte menu behind the Better tier. And decide deliberately whether individual medical-appointment rides are in or out, because that is the line the market actually draws and the one residents notice.</t>
  </si>
  <si>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</si>
  <si>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</si>
  <si>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</si>
  <si>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</si>
  <si>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</si>
  <si>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</si>
  <si>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</si>
  <si>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</si>
  <si>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</si>
  <si>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</si>
  <si>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</si>
  <si>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</si>
  <si>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</si>
  <si>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</si>
  <si>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</si>
  <si>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</si>
  <si>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</si>
  <si>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</si>
  <si>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</si>
  <si>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</si>
  <si>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</si>
  <si>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</si>
  <si>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</si>
  <si>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</si>
  <si>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</si>
  <si>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</si>
  <si>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</si>
  <si>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</si>
  <si>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</si>
  <si>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</si>
  <si>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</si>
  <si>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</si>
  <si>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</si>
  <si>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</si>
  <si>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</si>
  <si>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</si>
  <si>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</si>
  <si>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</si>
  <si>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</si>
  <si>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</si>
  <si>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</si>
  <si>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</si>
  <si>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</si>
  <si>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</si>
  <si>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</si>
  <si>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</si>
  <si>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</si>
  <si>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</si>
  <si>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</si>
  <si>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</si>
  <si>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</si>
  <si>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</si>
  <si>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</si>
  <si>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</si>
  <si>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</si>
  <si>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</si>
  <si>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</si>
  <si>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</si>
  <si>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</si>
  <si>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</si>
  <si>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</si>
  <si>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</si>
  <si>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</si>
  <si>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</si>
  <si>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</si>
  <si>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</si>
  <si>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</si>
  <si>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</si>
  <si>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</si>
  <si>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</si>
  <si>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</si>
  <si>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</si>
  <si>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</si>
  <si>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</si>
  <si>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</si>
  <si>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</si>
  <si>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</si>
  <si>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</si>
  <si>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</si>
  <si>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</si>
  <si>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</si>
  <si>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</si>
  <si>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</si>
  <si>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</si>
  <si>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</si>
  <si>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</si>
  <si>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</si>
  <si>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</si>
  <si>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</si>
  <si>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</si>
  <si>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</si>
  <si>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</si>
  <si>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</si>
  <si>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</si>
  <si>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</si>
  <si>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</si>
  <si>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</si>
  <si>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</si>
  <si>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</si>
  <si>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</si>
  <si>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</si>
  <si>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</si>
  <si>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</si>
  <si>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</si>
  <si>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</si>
  <si>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</si>
  <si>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</si>
  <si>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</si>
  <si>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</si>
  <si>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</si>
  <si>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</si>
  <si>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</si>
  <si>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</si>
  <si>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</si>
  <si>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</si>
  <si>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</si>
  <si>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</si>
  <si>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</si>
  <si>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</si>
  <si>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</si>
  <si>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</si>
  <si>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</si>
  <si>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</si>
  <si>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</si>
  <si>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</si>
  <si>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</si>
  <si>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</si>
  <si>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</si>
  <si>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</si>
  <si>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</si>
  <si>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</si>
  <si>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</si>
  <si>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</si>
  <si>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</si>
  <si>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</si>
  <si>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</si>
  <si>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</si>
  <si>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</si>
  <si>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</si>
  <si>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</si>
  <si>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</si>
  <si>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</si>
  <si>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</si>
  <si>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</si>
  <si>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</si>
  <si>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</si>
  <si>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</si>
  <si>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</si>
  <si>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</si>
  <si>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</si>
  <si>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</si>
  <si>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</si>
  <si>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</si>
  <si>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</si>
  <si>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</si>
  <si>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</si>
  <si>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</si>
  <si>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</si>
  <si>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</si>
  <si>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</si>
  <si>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</si>
  <si>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</si>
  <si>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</si>
  <si>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</si>
  <si>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</si>
  <si>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</si>
  <si>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</si>
  <si>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</si>
  <si>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</si>
  <si>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</si>
  <si>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</si>
  <si>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</si>
  <si>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</si>
  <si>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</si>
  <si>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</si>
  <si>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</si>
  <si>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</si>
  <si>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</si>
  <si>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</si>
  <si>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</si>
  <si>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</si>
  <si>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</si>
  <si>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</si>
  <si>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</si>
  <si>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</si>
  <si>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</si>
  <si>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</si>
  <si>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</si>
  <si>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</si>
  <si>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</si>
  <si>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</si>
  <si>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</si>
  <si>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</si>
  <si>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</si>
  <si>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</si>
  <si>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</si>
  <si>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</si>
  <si>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</si>
  <si>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</si>
  <si>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</si>
  <si>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</si>
  <si>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</si>
  <si>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</si>
  <si>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</si>
  <si>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</si>
  <si>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</si>
  <si>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</si>
  <si>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</si>
  <si>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</si>
  <si>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</si>
  <si>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</si>
  <si>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</si>
  <si>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</si>
  <si>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</si>
  <si>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</si>
  <si>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</si>
  <si>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</si>
  <si>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</si>
  <si>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</si>
  <si>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</si>
  <si>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</si>
  <si>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</si>
  <si>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</si>
  <si>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</si>
  <si>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</si>
  <si>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</si>
  <si>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</si>
  <si>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</si>
  <si>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</si>
  <si>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</si>
  <si>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</si>
  <si>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</si>
  <si>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</si>
  <si>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</si>
  <si>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</si>
  <si>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</si>
  <si>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</si>
  <si>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</si>
  <si>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</si>
  <si>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</si>
  <si>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</si>
  <si>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</si>
  <si>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</si>
  <si>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</si>
  <si>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</si>
  <si>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</si>
  <si>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</si>
  <si>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</si>
  <si>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</si>
  <si>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</si>
  <si>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</si>
  <si>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</si>
  <si>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</si>
  <si>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</si>
  <si>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</si>
  <si>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</si>
  <si>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</si>
  <si>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</si>
  <si>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</si>
  <si>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</si>
  <si>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</si>
  <si>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</si>
  <si>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</si>
  <si>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</si>
  <si>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</si>
  <si>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</si>
  <si>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</si>
  <si>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</si>
  <si>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</si>
  <si>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</si>
  <si>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</si>
  <si>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</si>
  <si>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</si>
  <si>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</si>
  <si>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</si>
  <si>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</si>
  <si>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</si>
  <si>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</si>
  <si>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</si>
  <si>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</si>
  <si>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</si>
  <si>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</si>
  <si>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</si>
  <si>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</si>
  <si>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</si>
  <si>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</si>
  <si>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</si>
  <si>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</si>
  <si>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</si>
  <si>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</si>
  <si>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</si>
  <si>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</si>
  <si>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</si>
  <si>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</si>
  <si>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</si>
  <si>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</si>
  <si>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</si>
  <si>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</si>
  <si>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</si>
  <si>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</si>
  <si>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</si>
  <si>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</si>
  <si>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</si>
  <si>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</si>
  <si>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</si>
  <si>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</si>
  <si>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</si>
  <si>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</si>
  <si>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</si>
  <si>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</si>
  <si>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</si>
  <si>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</si>
  <si>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</si>
  <si>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</si>
  <si>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</si>
  <si>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</si>
  <si>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</si>
  <si>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</si>
  <si>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</si>
  <si>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</si>
  <si>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</si>
  <si>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</si>
  <si>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</si>
  <si>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</si>
  <si>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</si>
  <si>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</si>
  <si>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</si>
  <si>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</si>
  <si>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</si>
  <si>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</si>
  <si>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</si>
  <si>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</si>
  <si>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</si>
  <si>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</si>
  <si>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</si>
  <si>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</si>
  <si>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</si>
  <si>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</si>
  <si>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</si>
  <si>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</si>
  <si>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</si>
  <si>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</si>
  <si>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</si>
  <si>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</si>
  <si>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</si>
  <si>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</si>
  <si>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</si>
  <si>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</si>
  <si>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</si>
  <si>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</si>
  <si>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</si>
  <si>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</si>
  <si>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</si>
  <si>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</si>
  <si>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</si>
  <si>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</si>
  <si>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</si>
  <si>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</si>
  <si>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</si>
  <si>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</si>
  <si>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</si>
  <si>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</si>
  <si>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</si>
  <si>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</si>
  <si>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</si>
  <si>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</si>
  <si>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</si>
  <si>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</si>
  <si>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</si>
  <si>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</si>
  <si>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</si>
  <si>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</si>
  <si>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</si>
  <si>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</si>
  <si>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</si>
  <si>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</si>
  <si>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</si>
  <si>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</si>
  <si>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</si>
  <si>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</si>
  <si>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</si>
  <si>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</si>
  <si>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</si>
  <si>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</si>
  <si>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</si>
  <si>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</si>
  <si>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</si>
  <si>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</si>
  <si>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</si>
  <si>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</si>
  <si>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</si>
  <si>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</si>
  <si>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</si>
  <si>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</si>
  <si>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</si>
  <si>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</si>
  <si>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</si>
  <si>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</si>
  <si>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</si>
  <si>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</si>
  <si>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</si>
  <si>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</si>
  <si>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</si>
  <si>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</si>
  <si>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</si>
  <si>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</si>
  <si>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</si>
  <si>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</si>
  <si>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</si>
  <si>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</si>
  <si>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</si>
  <si>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</si>
  <si>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</si>
  <si>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</si>
  <si>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</si>
  <si>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</si>
  <si>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</si>
  <si>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</si>
  <si>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</si>
  <si>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</si>
  <si>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</si>
  <si>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</si>
  <si>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</si>
  <si>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</si>
  <si>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</si>
  <si>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</si>
  <si>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</si>
  <si>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</si>
  <si>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</si>
  <si>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</si>
  <si>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</si>
  <si>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</si>
  <si>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</si>
  <si>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</si>
  <si>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</si>
  <si>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</si>
  <si>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</si>
  <si>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</si>
  <si>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</si>
  <si>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</si>
  <si>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</si>
  <si>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</si>
  <si>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</si>
  <si>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</si>
  <si>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</si>
  <si>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</si>
  <si>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</si>
  <si>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</si>
  <si>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</si>
  <si>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</si>
  <si>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</si>
  <si>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</si>
  <si>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</si>
  <si>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</si>
  <si>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</si>
  <si>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</si>
  <si>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</si>
  <si>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</si>
  <si>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</si>
  <si>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</si>
  <si>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</si>
  <si>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</si>
  <si>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</si>
  <si>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</si>
  <si>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</si>
  <si>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</si>
  <si>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</si>
  <si>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</si>
  <si>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</si>
  <si>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</si>
  <si>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</si>
  <si>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</si>
  <si>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</si>
  <si>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</si>
  <si>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</si>
  <si>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</si>
  <si>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</si>
  <si>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</si>
  <si>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</si>
  <si>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</si>
  <si>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</si>
  <si>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</si>
  <si>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</si>
  <si>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</si>
  <si>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</si>
  <si>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</si>
  <si>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</si>
  <si>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</si>
  <si>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</si>
  <si>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</si>
  <si>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</si>
  <si>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</si>
  <si>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</si>
  <si>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</si>
  <si>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</si>
  <si>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</si>
  <si>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</si>
  <si>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</si>
  <si>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</si>
  <si>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</si>
  <si>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</si>
  <si>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</si>
  <si>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</si>
  <si>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</si>
  <si>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</si>
  <si>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</si>
  <si>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</si>
  <si>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</si>
  <si>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</si>
  <si>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</si>
  <si>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</si>
  <si>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</si>
  <si>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</si>
  <si>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</si>
  <si>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</si>
  <si>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</si>
  <si>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</si>
  <si>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</si>
  <si>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</si>
  <si>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</si>
  <si>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</si>
  <si>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</si>
  <si>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</si>
  <si>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</si>
  <si>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</si>
  <si>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</si>
  <si>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</si>
  <si>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</si>
  <si>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</si>
  <si>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</si>
  <si>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</si>
  <si>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</si>
  <si>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</si>
  <si>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</si>
  <si>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</si>
  <si>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</si>
  <si>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</si>
  <si>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</si>
  <si>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</si>
  <si>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</si>
  <si>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</si>
  <si>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</si>
  <si>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</si>
  <si>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</si>
  <si>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</si>
  <si>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</si>
  <si>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</si>
  <si>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</si>
  <si>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</si>
  <si>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</si>
  <si>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</si>
  <si>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</si>
  <si>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</si>
  <si>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</si>
  <si>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</si>
  <si>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</si>
  <si>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</si>
  <si>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</si>
  <si>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</si>
  <si>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</si>
  <si>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</si>
  <si>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</si>
  <si>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</si>
  <si>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</si>
  <si>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</si>
  <si>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</si>
  <si>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</si>
  <si>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</si>
  <si>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</si>
  <si>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</si>
  <si>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</si>
  <si>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</si>
  <si>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</si>
  <si>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</si>
  <si>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</si>
  <si>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</si>
  <si>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</si>
  <si>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</si>
  <si>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</si>
  <si>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</si>
  <si>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</si>
  <si>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</si>
  <si>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</si>
  <si>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</si>
  <si>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</si>
  <si>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</si>
  <si>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</si>
  <si>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</si>
  <si>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</si>
  <si>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</si>
  <si>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</si>
  <si>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</si>
  <si>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</si>
  <si>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</si>
  <si>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</si>
  <si>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</si>
  <si>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</si>
  <si>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</si>
  <si>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</si>
  <si>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</si>
  <si>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</si>
  <si>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</si>
  <si>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</si>
  <si>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</si>
  <si>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</si>
  <si>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</si>
  <si>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</si>
  <si>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</si>
  <si>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</si>
  <si>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</si>
  <si>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</si>
  <si>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</si>
  <si>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</si>
  <si>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</si>
  <si>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</si>
  <si>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</si>
  <si>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</si>
  <si>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</si>
  <si>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</si>
  <si>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</si>
  <si>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</si>
  <si>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</si>
  <si>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</si>
  <si>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</si>
  <si>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</si>
  <si>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</si>
  <si>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</si>
  <si>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</si>
  <si>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</si>
  <si>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</si>
  <si>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</si>
  <si>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</si>
  <si>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</si>
  <si>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</si>
  <si>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</si>
  <si>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</si>
  <si>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</si>
  <si>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</si>
  <si>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</si>
  <si>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</si>
  <si>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</si>
  <si>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</si>
  <si>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</si>
  <si>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</si>
  <si>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</si>
  <si>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</si>
  <si>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</si>
  <si>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</si>
  <si>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</si>
  <si>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</si>
  <si>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</si>
  <si>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</si>
  <si>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</si>
  <si>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</si>
  <si>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</si>
  <si>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</si>
  <si>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</si>
  <si>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</si>
  <si>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</si>
  <si>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</si>
  <si>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</si>
  <si>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</si>
  <si>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</si>
  <si>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</si>
  <si>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</si>
  <si>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</si>
  <si>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</si>
  <si>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</si>
  <si>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</si>
  <si>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</si>
  <si>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</si>
  <si>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</si>
  <si>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</si>
  <si>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</si>
  <si>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</si>
  <si>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</si>
  <si>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</si>
  <si>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</si>
  <si>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</si>
  <si>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</si>
  <si>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</si>
  <si>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</si>
  <si>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</si>
  <si>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</si>
  <si>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</si>
  <si>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</si>
  <si>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</si>
  <si>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</si>
  <si>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</si>
  <si>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</si>
  <si>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</si>
  <si>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</si>
  <si>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</si>
  <si>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</si>
  <si>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</si>
  <si>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</si>
  <si>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</si>
  <si>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</si>
  <si>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</si>
  <si>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</si>
  <si>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</si>
  <si>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</si>
  <si>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</si>
  <si>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</si>
  <si>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</si>
  <si>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</si>
  <si>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</si>
  <si>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</si>
  <si>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</si>
  <si>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</si>
  <si>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</si>
  <si>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</si>
  <si>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</si>
  <si>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</si>
  <si>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</si>
  <si>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</si>
  <si>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</si>
  <si>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</si>
  <si>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</si>
  <si>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</si>
  <si>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</si>
  <si>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</si>
  <si>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</si>
  <si>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</si>
  <si>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</si>
  <si>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</si>
  <si>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</si>
  <si>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</si>
  <si>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</si>
  <si>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</si>
  <si>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</si>
  <si>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</si>
  <si>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</si>
  <si>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</si>
  <si>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</si>
  <si>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</si>
  <si>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</si>
  <si>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</si>
  <si>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</si>
  <si>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</si>
  <si>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</si>
  <si>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</si>
  <si>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</si>
  <si>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</si>
  <si>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</si>
  <si>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</si>
  <si>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</si>
  <si>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</si>
  <si>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</si>
  <si>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</si>
  <si>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</si>
  <si>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</si>
  <si>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</si>
  <si>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</si>
  <si>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</si>
  <si>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</si>
  <si>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</si>
  <si>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</si>
  <si>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</si>
  <si>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</si>
  <si>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</si>
  <si>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</si>
  <si>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</si>
  <si>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</si>
  <si>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</si>
  <si>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</si>
  <si>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</si>
  <si>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</si>
  <si>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</si>
  <si>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</si>
  <si>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</si>
  <si>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</si>
  <si>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</si>
  <si>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</si>
  <si>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</si>
  <si>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</si>
  <si>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</si>
  <si>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</si>
  <si>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</si>
  <si>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</si>
  <si>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</si>
  <si>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</si>
  <si>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</si>
  <si>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</si>
  <si>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</si>
  <si>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</si>
  <si>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</si>
  <si>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</si>
  <si>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</si>
  <si>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</si>
  <si>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</si>
  <si>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</si>
  <si>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</si>
  <si>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</si>
  <si>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</si>
  <si>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</si>
  <si>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</si>
  <si>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</si>
  <si>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</si>
  <si>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</si>
  <si>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</si>
  <si>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</si>
  <si>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</si>
  <si>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</si>
  <si>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</si>
  <si>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</si>
  <si>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</si>
  <si>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</si>
  <si>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</si>
  <si>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</si>
  <si>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</si>
  <si>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</si>
  <si>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</si>
  <si>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</si>
  <si>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</si>
  <si>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</si>
  <si>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</si>
  <si>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</si>
  <si>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</si>
  <si>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</si>
  <si>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</si>
  <si>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</si>
  <si>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</si>
  <si>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</si>
  <si>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</si>
  <si>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</si>
  <si>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</si>
  <si>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</si>
  <si>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</si>
  <si>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</si>
  <si>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</si>
  <si>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</si>
  <si>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</si>
  <si>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</si>
  <si>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</si>
  <si>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</si>
  <si>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</si>
  <si>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</si>
  <si>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</si>
  <si>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</si>
  <si>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</si>
  <si>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</si>
  <si>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</si>
  <si>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</si>
  <si>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</si>
  <si>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</si>
  <si>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</si>
  <si>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</si>
  <si>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</si>
  <si>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</si>
  <si>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</si>
  <si>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</si>
  <si>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</si>
  <si>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</si>
  <si>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</si>
  <si>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</si>
  <si>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</si>
  <si>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</si>
  <si>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</si>
  <si>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</si>
  <si>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</si>
  <si>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</si>
  <si>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</si>
  <si>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</si>
  <si>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</si>
  <si>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</si>
  <si>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</si>
  <si>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</si>
  <si>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</si>
  <si>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</si>
  <si>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</si>
  <si>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</si>
  <si>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</si>
  <si>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</si>
  <si>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</si>
  <si>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</si>
  <si>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</si>
  <si>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</si>
  <si>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</si>
  <si>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</si>
  <si>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</si>
  <si>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</si>
  <si>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</si>
  <si>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</si>
  <si>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</si>
  <si>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</si>
  <si>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</si>
  <si>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</si>
  <si>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</si>
  <si>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</si>
  <si>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</si>
  <si>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</si>
  <si>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</si>
  <si>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</si>
  <si>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</si>
  <si>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</si>
  <si>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</si>
  <si>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</si>
  <si>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</si>
  <si>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</si>
  <si>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</si>
  <si>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</si>
  <si>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</si>
  <si>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</si>
  <si>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</si>
  <si>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</si>
  <si>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</si>
  <si>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</si>
  <si>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</si>
  <si>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</si>
  <si>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</si>
  <si>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</si>
  <si>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</si>
  <si>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</si>
  <si>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</si>
  <si>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</si>
  <si>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</si>
  <si>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</si>
  <si>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</si>
  <si>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</si>
  <si>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</si>
  <si>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</si>
  <si>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</si>
  <si>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</si>
  <si>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</si>
  <si>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</si>
  <si>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</si>
  <si>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</si>
  <si>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</si>
  <si>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</si>
  <si>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</si>
  <si>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</si>
  <si>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</si>
  <si>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</si>
  <si>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</si>
  <si>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</si>
  <si>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</si>
  <si>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</si>
  <si>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</si>
  <si>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</si>
  <si>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</si>
  <si>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</si>
  <si>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</si>
  <si>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</si>
  <si>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</si>
  <si>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</si>
  <si>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</si>
  <si>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</si>
  <si>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</si>
  <si>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</si>
  <si>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</si>
  <si>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</si>
  <si>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</si>
  <si>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</si>
  <si>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</si>
  <si>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</si>
  <si>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</si>
  <si>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</si>
  <si>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</si>
  <si>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</si>
  <si>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</si>
  <si>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</si>
  <si>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</si>
  <si>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</si>
  <si>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</si>
  <si>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</si>
  <si>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</si>
  <si>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</si>
  <si>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</si>
  <si>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</si>
  <si>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</si>
  <si>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</si>
  <si>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</si>
  <si>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</si>
  <si>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</si>
  <si>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</si>
  <si>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</si>
  <si>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</si>
  <si>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</si>
  <si>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</si>
  <si>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</si>
  <si>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</si>
  <si>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</si>
  <si>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</si>
  <si>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</si>
  <si>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</si>
  <si>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</si>
  <si>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</si>
  <si>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</si>
  <si>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</si>
  <si>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</si>
  <si>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</si>
  <si>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</si>
  <si>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</si>
  <si>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</si>
  <si>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</si>
  <si>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</si>
  <si>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</si>
  <si>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</si>
  <si>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</si>
  <si>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</si>
  <si>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</si>
  <si>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</si>
  <si>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</si>
  <si>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</si>
  <si>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</si>
  <si>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</si>
  <si>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</si>
  <si>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</si>
  <si>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</si>
  <si>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</si>
  <si>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</si>
  <si>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</si>
  <si>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</si>
  <si>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</si>
  <si>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</si>
  <si>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</si>
  <si>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</si>
  <si>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</si>
  <si>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</si>
  <si>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</si>
  <si>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</si>
  <si>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</si>
  <si>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</si>
  <si>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</si>
  <si>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</si>
  <si>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</si>
  <si>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</si>
  <si>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</si>
  <si>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</si>
  <si>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</si>
  <si>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</si>
  <si>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</si>
  <si>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</si>
  <si>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</si>
  <si>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</si>
  <si>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</si>
  <si>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</si>
  <si>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</si>
  <si>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</si>
  <si>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</si>
  <si>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</si>
  <si>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</si>
  <si>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</si>
  <si>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</si>
  <si>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</si>
  <si>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</si>
  <si>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</si>
  <si>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</si>
  <si>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</si>
  <si>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</si>
  <si>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</si>
  <si>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</si>
  <si>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</si>
  <si>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</si>
  <si>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</si>
  <si>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</si>
  <si>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</si>
  <si>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</si>
  <si>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</si>
  <si>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</si>
  <si>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</si>
  <si>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</si>
  <si>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</si>
  <si>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</si>
  <si>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</si>
  <si>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</si>
  <si>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</si>
  <si>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</si>
  <si>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</si>
  <si>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</si>
  <si>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</si>
  <si>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</si>
  <si>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</si>
  <si>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</si>
  <si>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</si>
  <si>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</si>
  <si>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</si>
  <si>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</si>
  <si>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</si>
  <si>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</si>
  <si>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</si>
  <si>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</si>
  <si>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</si>
  <si>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</si>
  <si>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</si>
  <si>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</si>
  <si>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</si>
  <si>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</si>
  <si>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</si>
  <si>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</si>
  <si>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</si>
  <si>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</si>
  <si>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</si>
  <si>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</si>
  <si>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</si>
  <si>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</si>
  <si>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</si>
  <si>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</si>
  <si>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</si>
  <si>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</si>
  <si>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</si>
  <si>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</si>
  <si>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</si>
  <si>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</si>
  <si>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</si>
  <si>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</si>
  <si>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</si>
  <si>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</si>
  <si>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</si>
  <si>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</si>
  <si>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</si>
  <si>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</si>
  <si>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</si>
  <si>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</si>
  <si>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</si>
  <si>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</si>
  <si>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</si>
  <si>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</si>
  <si>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</si>
  <si>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</si>
  <si>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</si>
  <si>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</si>
  <si>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</si>
  <si>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</si>
  <si>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</si>
  <si>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</si>
  <si>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</si>
  <si>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</si>
  <si>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</si>
  <si>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</si>
  <si>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</si>
  <si>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</si>
  <si>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</si>
  <si>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</si>
  <si>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</si>
  <si>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</si>
  <si>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</si>
  <si>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</si>
  <si>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</si>
  <si>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</si>
  <si>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</si>
  <si>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</si>
  <si>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</si>
  <si>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</si>
  <si>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</si>
  <si>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</si>
  <si>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</si>
  <si>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</si>
  <si>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</si>
  <si>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</si>
  <si>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</si>
  <si>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</si>
  <si>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</si>
  <si>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</si>
  <si>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</si>
  <si>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</si>
  <si>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</si>
  <si>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</si>
  <si>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</si>
  <si>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</si>
  <si>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</si>
  <si>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</si>
  <si>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</si>
  <si>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</si>
  <si>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</si>
  <si>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</si>
  <si>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</si>
  <si>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</si>
  <si>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</si>
  <si>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</si>
  <si>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</si>
  <si>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</si>
  <si>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</si>
  <si>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</si>
  <si>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</si>
  <si>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</si>
  <si>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</si>
  <si>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</si>
  <si>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</si>
  <si>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</si>
  <si>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</si>
  <si>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</si>
  <si>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</si>
  <si>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</si>
  <si>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</si>
  <si>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</si>
  <si>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</si>
  <si>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</si>
  <si>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</si>
  <si>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</si>
  <si>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</si>
  <si>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</si>
  <si>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</si>
  <si>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</si>
  <si>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</si>
  <si>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</si>
  <si>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</si>
  <si>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</si>
  <si>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</si>
  <si>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</si>
  <si>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</si>
  <si>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</si>
  <si>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</si>
  <si>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</si>
  <si>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</si>
  <si>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</si>
  <si>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</si>
  <si>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</si>
  <si>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</si>
  <si>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</si>
  <si>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</si>
  <si>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</si>
  <si>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</si>
  <si>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</si>
  <si>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</si>
  <si>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</si>
  <si>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</si>
  <si>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</si>
  <si>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</si>
  <si>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</si>
  <si>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</si>
  <si>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</si>
  <si>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</si>
  <si>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</si>
  <si>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</si>
  <si>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</si>
  <si>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</si>
  <si>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</si>
  <si>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</si>
  <si>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</si>
  <si>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</si>
  <si>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</si>
  <si>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</si>
  <si>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</si>
  <si>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</si>
  <si>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</si>
  <si>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</si>
  <si>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</si>
  <si>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</si>
  <si>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</si>
  <si>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</si>
  <si>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</si>
  <si>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</si>
  <si>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</si>
  <si>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</si>
  <si>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</si>
  <si>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</si>
  <si>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</si>
  <si>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</si>
  <si>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</si>
  <si>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</si>
  <si>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</si>
  <si>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</si>
  <si>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</si>
  <si>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</si>
  <si>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</si>
  <si>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</si>
  <si>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</si>
  <si>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</si>
  <si>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</si>
  <si>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</si>
  <si>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</si>
  <si>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</si>
  <si>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</si>
  <si>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</si>
  <si>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</si>
  <si>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</si>
  <si>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</si>
  <si>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</si>
  <si>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</si>
  <si>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</si>
  <si>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</si>
  <si>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</si>
  <si>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</si>
  <si>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</si>
  <si>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</si>
  <si>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</si>
  <si>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</si>
  <si>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</si>
  <si>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</si>
  <si>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</si>
  <si>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</si>
  <si>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</si>
  <si>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</si>
  <si>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</si>
  <si>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</si>
  <si>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</si>
  <si>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</si>
  <si>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</si>
  <si>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</si>
  <si>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</si>
  <si>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</si>
  <si>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</si>
  <si>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</si>
  <si>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</si>
  <si>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</si>
  <si>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</si>
  <si>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</si>
  <si>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</si>
  <si>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</si>
  <si>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</si>
  <si>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</si>
  <si>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</si>
  <si>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</si>
  <si>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</si>
  <si>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</si>
  <si>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</si>
  <si>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</si>
  <si>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</si>
  <si>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</si>
  <si>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</si>
  <si>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</si>
  <si>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</si>
  <si>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</si>
  <si>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</si>
  <si>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</si>
  <si>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</si>
  <si>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</si>
  <si>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</si>
  <si>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</si>
  <si>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</si>
  <si>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</si>
  <si>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</si>
  <si>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</si>
  <si>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</si>
  <si>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</si>
  <si>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</si>
  <si>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</si>
  <si>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</si>
  <si>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</si>
  <si>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</si>
  <si>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</si>
  <si>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</si>
  <si>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</si>
  <si>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</si>
  <si>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</si>
  <si>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</si>
  <si>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</si>
  <si>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</si>
  <si>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</si>
  <si>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</si>
  <si>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</si>
  <si>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</si>
  <si>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</si>
  <si>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</si>
  <si>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</si>
  <si>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</si>
  <si>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</si>
  <si>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</si>
  <si>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</si>
  <si>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</si>
  <si>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</si>
  <si>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</si>
  <si>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</si>
  <si>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</si>
  <si>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</si>
  <si>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</si>
  <si>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</si>
  <si>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</si>
  <si>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</si>
  <si>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</si>
  <si>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</si>
  <si>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</si>
  <si>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</si>
  <si>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</si>
  <si>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</si>
  <si>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</si>
  <si>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</si>
  <si>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</si>
  <si>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</si>
  <si>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</si>
  <si>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</si>
  <si>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</si>
  <si>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</si>
  <si>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</si>
  <si>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</si>
  <si>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</si>
  <si>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</si>
  <si>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</si>
  <si>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</si>
  <si>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</si>
  <si>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</si>
  <si>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</si>
  <si>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</si>
  <si>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</si>
  <si>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</si>
  <si>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</si>
  <si>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</si>
  <si>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</si>
  <si>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</si>
  <si>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</si>
  <si>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</si>
  <si>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</si>
  <si>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</si>
  <si>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</si>
  <si>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</si>
  <si>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</si>
  <si>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</si>
  <si>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</si>
  <si>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</si>
  <si>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</si>
  <si>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</si>
  <si>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</si>
  <si>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</si>
  <si>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</si>
  <si>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</si>
  <si>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</si>
  <si>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</si>
  <si>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</si>
  <si>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</si>
  <si>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</si>
  <si>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</si>
  <si>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</si>
  <si>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</si>
  <si>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</si>
  <si>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</si>
  <si>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</si>
  <si>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</si>
  <si>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</si>
  <si>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</si>
  <si>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</si>
  <si>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</si>
  <si>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</si>
  <si>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</si>
  <si>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</si>
  <si>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</si>
  <si>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</si>
  <si>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</si>
  <si>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</si>
  <si>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</si>
  <si>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</si>
  <si>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</si>
  <si>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</si>
  <si>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</si>
  <si>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</si>
  <si>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</si>
  <si>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</si>
  <si>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</si>
  <si>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</si>
  <si>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</si>
  <si>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</si>
  <si>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</si>
  <si>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</si>
  <si>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</si>
  <si>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</si>
  <si>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</si>
  <si>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</si>
  <si>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</si>
  <si>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</si>
  <si>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</si>
  <si>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</si>
  <si>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</si>
  <si>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</si>
  <si>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</si>
  <si>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</si>
  <si>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</si>
  <si>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</si>
  <si>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</si>
  <si>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</si>
  <si>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</si>
  <si>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</si>
  <si>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</si>
  <si>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</si>
  <si>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</si>
  <si>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</si>
  <si>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</si>
  <si>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</si>
  <si>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</si>
  <si>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</si>
  <si>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</si>
  <si>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</si>
  <si>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</si>
  <si>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</si>
  <si>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</si>
  <si>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</si>
  <si>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</si>
  <si>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</si>
  <si>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</si>
  <si>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</si>
  <si>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</si>
  <si>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</si>
  <si>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</si>
  <si>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BUT READ IN FULL (Frankfort is in ILLINOIS): Cedarhurst does state its Cottages "operate separately from the Assisted Living and Memory Care neighborhoods and do not include the same all-inclusive services and amenities" — but that disclaimer covers the all-inclusive package and the dining model, and the SAME pages state cottage residents "will have access to the activity programs, therapy services, and transportation options already available at" the main community. An earlier draft of this analysis treated Cedarhurst as the strongest evidence that cottages get less transportation; that reading was wrong and has been withdrawn.</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</si>
  <si>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</si>
  <si>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</si>
  <si>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</si>
  <si>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</si>
  <si>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</si>
  <si>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</si>
  <si>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</si>
  <si>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</si>
  <si>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</si>
  <si>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</si>
  <si>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</si>
  <si>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</si>
  <si>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</si>
  <si>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</si>
  <si>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</si>
  <si>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</si>
  <si>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</si>
  <si>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</si>
  <si>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</si>
  <si>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</si>
  <si>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</si>
  <si>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</si>
  <si>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</si>
  <si>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</si>
  <si>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</si>
  <si>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</si>
  <si>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</si>
  <si>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</si>
  <si>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</si>
  <si>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</si>
  <si>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</si>
  <si>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</si>
  <si>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</si>
  <si>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</si>
  <si>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</si>
  <si>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</si>
  <si>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</si>
  <si>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</si>
  <si>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</si>
  <si>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</si>
  <si>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</si>
  <si>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</si>
  <si>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</si>
  <si>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</si>
  <si>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</si>
  <si>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</si>
  <si>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</si>
  <si>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</si>
  <si>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</si>
  <si>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WITH A CORRECTION: the cottage page's base inclusions contain NO transportation, while the IL apartment list names "scheduled transportation" — so this label captured a real difference. But "routine outings to local and regional events" appears on BOTH the cottage and apartment pages, so it is a shared campus amenity rather than a cottage substitute, and the community home page separately advertises free doctor-visit transportation with no tier qualifier.</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</si>
  <si>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</si>
  <si>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</si>
  <si>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</si>
  <si>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</si>
  <si>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</si>
  <si>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</si>
  <si>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</si>
  <si>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</si>
  <si>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</si>
  <si>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</si>
  <si>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</si>
  <si>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</si>
  <si>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</si>
  <si>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</si>
  <si>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</si>
  <si>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</si>
  <si>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</si>
  <si>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</si>
  <si>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</si>
  <si>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</si>
  <si>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</si>
  <si>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</si>
  <si>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</si>
  <si>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</si>
  <si>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</si>
  <si>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</si>
  <si>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</si>
  <si>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</si>
  <si>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</si>
  <si>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</si>
  <si>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</si>
  <si>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</si>
  <si>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</si>
  <si>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</si>
  <si>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</si>
  <si>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</si>
  <si>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</si>
  <si>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</si>
  <si>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</si>
  <si>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</si>
  <si>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</si>
  <si>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</si>
  <si>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</si>
  <si>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</si>
  <si>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</si>
  <si>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</si>
  <si>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</si>
  <si>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</si>
  <si>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</si>
  <si>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</si>
  <si>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</si>
  <si>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</si>
  <si>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</si>
  <si>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</si>
  <si>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</si>
  <si>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</si>
  <si>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</si>
  <si>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</si>
  <si>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</si>
  <si>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</si>
  <si>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</si>
  <si>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</si>
  <si>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</si>
  <si>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</si>
  <si>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</si>
  <si>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</si>
  <si>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</si>
  <si>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</si>
  <si>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</si>
  <si>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</si>
  <si>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</si>
  <si>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</si>
  <si>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</si>
  <si>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</si>
  <si>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</si>
  <si>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</si>
  <si>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</si>
  <si>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</si>
  <si>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</si>
  <si>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</si>
  <si>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</si>
  <si>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</si>
  <si>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</si>
  <si>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</si>
  <si>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</si>
  <si>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</si>
  <si>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</si>
  <si>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</si>
  <si>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</si>
  <si>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</si>
  <si>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</si>
  <si>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</si>
  <si>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</si>
  <si>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</si>
  <si>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</si>
  <si>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</si>
  <si>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</si>
  <si>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</si>
  <si>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</si>
  <si>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</si>
  <si>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</si>
  <si>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</si>
  <si>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</si>
  <si>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</si>
  <si>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</si>
  <si>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</si>
  <si>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</si>
  <si>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</si>
  <si>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</si>
  <si>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</si>
  <si>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</si>
  <si>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</si>
  <si>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</si>
  <si>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</si>
  <si>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</si>
  <si>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</si>
  <si>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</si>
  <si>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</si>
  <si>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</si>
  <si>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</si>
  <si>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</si>
  <si>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</si>
  <si>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</si>
  <si>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</si>
  <si>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</si>
  <si>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</si>
  <si>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</si>
  <si>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</si>
  <si>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</si>
  <si>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</si>
  <si>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</si>
  <si>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</si>
  <si>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</si>
  <si>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</si>
  <si>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</si>
  <si>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</si>
  <si>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</si>
  <si>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</si>
  <si>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</si>
  <si>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</si>
  <si>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</si>
  <si>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</si>
  <si>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</si>
  <si>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Recommended Service Offerings — Good / Better / Best, by Function</t>
  </si>
  <si>
    <t xml:space="preserve">One block per service function, with three rows each: GOOD, BETTER and BEST. Read a single row to see exactly what to offer at that level. The green / blue / orange bands mark the level. Columns E and F are shared across the three rows of a function, because the evidence and the price references apply to the whole function. Price is deliberately secondary: the unit price point will later decide which level fits which product, but the service content is the decision being made now. The detailed element-by-element breakdown behind these rows is on the "Service Elements" tab.</t>
  </si>
  <si>
    <t xml:space="preserve">Level</t>
  </si>
  <si>
    <t xml:space="preserve">Recommended service offering at this level</t>
  </si>
  <si>
    <t xml:space="preserve">How it is delivered</t>
  </si>
  <si>
    <t xml:space="preserve">Why these three levels — evidence from the four sources and the market research</t>
  </si>
  <si>
    <t xml:space="preserve">Price reference from the sources (secondary — for the later pricing step)</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</si>
  <si>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</si>
  <si>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Included in the base fee. Nothing else offered; residents are referred to third-party ride services and told so plainly.</t>
  </si>
  <si>
    <t xml:space="preserve">Research across ~50 communities, then a verification pass, found five distinct service models behind the single word (see the Transportation Detail tab). The mainstream is two-tier: scheduled trips free, off-schedule trips paid, verified at four communities. Cottage residents generally get the SAME service as apartment residents and occasionally better; an earlier draft concluded the opposite and was withdrawn on verification. Dialysis was never named by any community; wheelchair accessibility was claimed at exactly one.</t>
  </si>
  <si>
    <t xml:space="preserve">Witzgall is the only source in the project with prices: beyond-radius medical $2.50-$4.00/mile or $25-$50/trip; private car $30-$60/hr; airport $75-$150/trip. NOT ONE COMMUNITY IN THE MARKET RESEARCH PUBLISHED A DOLLAR RATE. Paid tiers are disclosed but priced only as "nominal", "a small fee", "for a fee", "at cost" or "flat fee", across at least three different mechanisms: per mile, flat fee, and an operator driver in an operator vehicle at an unstated rate.</t>
  </si>
  <si>
    <t xml:space="preserve">Scheduled group shuttle on set routes, plus individually scheduled medical-appointment rides on weekdays within a defined standard route or county, door-to-door. Group outings included. A posted rate covers trips beyond the area and unscheduled personal rides. Days, hours, booking lead time and the capacity rule are all published.</t>
  </si>
  <si>
    <t xml:space="preserve">Included in the base fee, plus a published price list for unscheduled, private and out-of-area trips.</t>
  </si>
  <si>
    <t xml:space="preserve">Everything at Better, delivered inside an all-inclusive fee, plus a monthly allowance of personal on-demand trips, an on-campus circulator between home and the clubhouse, escorted appointment service by arrangement, a stated dialysis and recurring-therapy policy, and concierge-booked airport runs.</t>
  </si>
  <si>
    <t xml:space="preserve">Included in the all-inclusive fee, with a monthly allowance of personal trips before posted rates apply.</t>
  </si>
  <si>
    <t xml:space="preserve">Full access to the main community's calendar, fitness center, pool and common areas on the same basis as apartment residents. Outings and ticketed events pay-per-use.</t>
  </si>
  <si>
    <t xml:space="preserve">Included in the base fee. Outings and ticketed events are pay-per-use.</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</si>
  <si>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</si>
  <si>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</si>
  <si>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Full access to the main community calendar, fitness centre, pool and common areas, plus cottage-neighbourhood programming: block events, a resident council and a cottage liaison. Excursions and specialty classes are priced per use.</t>
  </si>
  <si>
    <t xml:space="preserve">Included in the base fee, plus cottage-specific programming. Excursions and classes priced.</t>
  </si>
  <si>
    <t xml:space="preserve">Full campus access and cottage-neighbourhood programming, plus concierge-booked excursions, specialty classes and personal training funded by a monthly enrichment credit, with priority registration for limited-seat events.</t>
  </si>
  <si>
    <t xml:space="preserve">Included in the all-inclusive fee, backed by an enrichment credit and concierge booking.</t>
  </si>
  <si>
    <t xml:space="preserve">No meal plan. Dining venues open to cottage residents at posted prices; a weekly continental breakfast or coffee social at the clubhouse; guest meals à la carte.</t>
  </si>
  <si>
    <t xml:space="preserve">Not in the fee. Venue access included; food bought at posted prices.</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</si>
  <si>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</si>
  <si>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</si>
  <si>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Daily continental breakfast plus a modest monthly declining-balance dining credit usable at any venue; optional meal plans (10, 15 or 30 meals/month) and villa delivery at posted prices.</t>
  </si>
  <si>
    <t xml:space="preserve">A monthly dining credit sits in the fee. Meal plans and delivery are optional add-ons at posted prices.</t>
  </si>
  <si>
    <t xml:space="preserve">Daily breakfast plus one chef-prepared meal per day (or 20–30 meals/month) included, with villa delivery and a guest-meal allowance included; 3-meal plan as an upgrade.</t>
  </si>
  <si>
    <t xml:space="preserve">Meals included in the all-inclusive fee, with delivery and a guest allowance; a larger plan is an upgrade.</t>
  </si>
  <si>
    <t xml:space="preserve">Not bundled. Housekeeping sold as a monthly subscription or hourly at a posted rate; deep clean à la carte.</t>
  </si>
  <si>
    <t xml:space="preserve">Not in the fee. Sold as a monthly subscription or hourly at a published rate.</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</si>
  <si>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</si>
  <si>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</si>
  <si>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Bi-weekly light housekeeping included; weekly upgrade, linen, deep, carpet and window cleaning at posted prices.</t>
  </si>
  <si>
    <t xml:space="preserve">Bi-weekly included in the fee; weekly, linen and specialty cleaning at posted prices.</t>
  </si>
  <si>
    <t xml:space="preserve">Weekly housekeeping with flat-linen service included, plus an annual spring deep clean; specialty cleaning on request.</t>
  </si>
  <si>
    <t xml:space="preserve">Weekly with linen included in the all-inclusive fee; specialty cleaning on request.</t>
  </si>
  <si>
    <t xml:space="preserve">In-unit washer/dryer (or hookups); no laundry service.</t>
  </si>
  <si>
    <t xml:space="preserve">Residence feature only (in-unit washer/dryer). No service.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</si>
  <si>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</si>
  <si>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</si>
  <si>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In-unit washer/dryer plus optional personal laundry and linen service priced per load or as a monthly package.</t>
  </si>
  <si>
    <t xml:space="preserve">Residence feature plus an optional priced service.</t>
  </si>
  <si>
    <t xml:space="preserve">In-unit washer/dryer plus weekly flat-linen service included; personal laundry package at a discounted rate.</t>
  </si>
  <si>
    <t xml:space="preserve">Weekly flat-linen service included; personal laundry at a discounted rate.</t>
  </si>
  <si>
    <t xml:space="preserve">Fitness center and pool access; wellness programming on the community calendar; clinical services by referral.</t>
  </si>
  <si>
    <t xml:space="preserve">Included access to fitness and programming. Clinical services by referral only.</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</si>
  <si>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</si>
  <si>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</si>
  <si>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Fitness centre, pool and wellness programming included, plus a monthly on-site wellness clinic and an opt-in daily check-in. Home health and therapy are coordinated on request at the provider's rates.</t>
  </si>
  <si>
    <t xml:space="preserve">Included access plus a monthly clinic and opt-in check-in. Clinical services coordinated at provider rates.</t>
  </si>
  <si>
    <t xml:space="preserve">Fitness, pool, programming, a monthly clinic and daily check-in, plus an annual wellness allowance or a set number of free health-centre days, and a wellness navigator who coordinates home care, therapy and medication management.</t>
  </si>
  <si>
    <t xml:space="preserve">Included, plus an annual wellness allowance and a navigator who coordinates care.</t>
  </si>
  <si>
    <t xml:space="preserve">24/7 monitored emergency call system (pendant or pull cords) answered by the main community.</t>
  </si>
  <si>
    <t xml:space="preserve">Included in the base fee. The floor at every level.</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</si>
  <si>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</si>
  <si>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</si>
  <si>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24/7 monitored emergency call system with a campus-wide mobile pendant that works outside the home, a dedicated 24-hour response protocol for the cottage neighbourhood, and an opt-in daily check-in.</t>
  </si>
  <si>
    <t xml:space="preserve">Included, with a wider device and a dedicated cottage response protocol.</t>
  </si>
  <si>
    <t xml:space="preserve">Monitored emergency call system and mobile pendant, plus gated or controlled entry, a 24-hour security presence, in-home sensors or fall detection, lock-and-leave home checks while travelling, and priority response routing for the cottages.</t>
  </si>
  <si>
    <t xml:space="preserve">Included, with gated entry, 24-hour presence and in-home technology.</t>
  </si>
  <si>
    <t xml:space="preserve">All exterior maintenance, lawn, landscaping, snow and ice, plus repair of community-owned appliances and systems; business-hours work orders with an emergency line.</t>
  </si>
  <si>
    <t xml:space="preserve">Included in the base fee. Never optional at any level.</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</si>
  <si>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</si>
  <si>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</si>
  <si>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All exterior maintenance, lawn, landscaping, snow and ice, plus repair of community-owned appliances and systems. Adds 24-hour emergency maintenance and preventive interior work (filters, detectors, seasonal checks). Resident-requested handyman jobs at a posted rate.</t>
  </si>
  <si>
    <t xml:space="preserve">Included, with 24-hour emergency response and preventive work; resident-requested jobs at a posted rate.</t>
  </si>
  <si>
    <t xml:space="preserve">All exterior and interior maintenance with 24-hour emergency response and preventive work, plus included handyman hours each month, seasonal exterior services (gutters, power-washing, windows) and a scheduled interior refresh cycle for paint and carpet.</t>
  </si>
  <si>
    <t xml:space="preserve">Included, with monthly handyman hours, seasonal services and a scheduled interior refresh.</t>
  </si>
  <si>
    <t xml:space="preserve">Water, sewer, trash and recycling included; resident pays electric, gas, cable, internet and phone directly.</t>
  </si>
  <si>
    <t xml:space="preserve">Water, sewer and trash in the fee. Resident pays the rest directly.</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</si>
  <si>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</si>
  <si>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</si>
  <si>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All standard utilities (electric, gas, water, sewer, trash) plus basic cable and Wi-Fi bundled; phone optional.</t>
  </si>
  <si>
    <t xml:space="preserve">All standard utilities plus basic cable and Wi-Fi bundled into the fee.</t>
  </si>
  <si>
    <t xml:space="preserve">All utilities bundled into the fee — electric, gas, water, sewer, trash, basic cable and Wi-Fi — plus phone and a premium cable or streaming package. Property taxes and building insurance are carried by the community where the ownership structure creates them.</t>
  </si>
  <si>
    <t xml:space="preserve">Everything bundled, including phone and premium cable; taxes and insurance where the structure creates them.</t>
  </si>
  <si>
    <t xml:space="preserve">Business-hours front desk and a short posted price list (housekeeping, guest meals, pet fees).</t>
  </si>
  <si>
    <t xml:space="preserve">Business-hours desk included. A short posted price list for the few services offered.</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</si>
  <si>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</si>
  <si>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</si>
  <si>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</si>
  <si>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Included desk and coordinator, plus a full published Base + Choice menu billed on the monthly statement.</t>
  </si>
  <si>
    <t xml:space="preserve">A full published Base + Choice menu billed on the monthly statement, plus 24/7 concierge, package delivery to the villa, vendor coordination, a dedicated cottage services coordinator, and a monthly convenience credit usable across the menu.</t>
  </si>
  <si>
    <t xml:space="preserve">Included 24/7 concierge and dedicated coordinator, plus a monthly convenience credit against the menu.</t>
  </si>
  <si>
    <t xml:space="preserve">Package view — what each level adds up to</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</si>
  <si>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</si>
  <si>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</si>
  <si>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</si>
  <si>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</si>
  <si>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</si>
  <si>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</si>
  <si>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</si>
  <si>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</si>
  <si>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</si>
  <si>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</si>
  <si>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</si>
  <si>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</si>
  <si>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</si>
  <si>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</si>
  <si>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</si>
  <si>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</si>
  <si>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</si>
  <si>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</si>
  <si>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</si>
  <si>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</si>
  <si>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</si>
  <si>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</si>
  <si>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</si>
  <si>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</si>
  <si>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</si>
  <si>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</si>
  <si>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</si>
  <si>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</si>
  <si>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</si>
  <si>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</si>
  <si>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</si>
  <si>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</si>
  <si>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</si>
  <si>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Service Grid — five functions, with MIM on every option</t>
  </si>
  <si>
    <t xml:space="preserve">The working decision grid. Five functions, each with its service levels, and a MIM column that must read Yes on every option. MIM = for every new resident, the team meets them. It reads Yes on all sixteen rows including both Not Offered states, because the team still meets a new resident to explain what is and is not available at that community. The Confirmed by column carries the speaker and the timestamp from the 17 September call, so any row can be traced back to what was actually said. Rows that nobody has agreed to yet are flagged in the Status column — do not present those as decided.</t>
  </si>
  <si>
    <t xml:space="preserve">Source of the call evidence: "Connect - cottage services" meeting transcript, 17 September 2026, 16m 48s. Kevin Penn (Culinary), Justin Hollabaugh (Settings: housekeeping and maintenance), Curtis Avison. Transcription started late; Justin's position was re-confirmed on the record at 14:16–15:30.</t>
  </si>
  <si>
    <t xml:space="preserve">Service offering at this level</t>
  </si>
  <si>
    <t xml:space="preserve">MIM</t>
  </si>
  <si>
    <t xml:space="preserve">Confirmed by (speaker and timestamp)</t>
  </si>
  <si>
    <t xml:space="preserve">Status</t>
  </si>
  <si>
    <t xml:space="preserve">GOOD</t>
  </si>
  <si>
    <t xml:space="preserve">Scheduled group shuttle on existing routes (shopping, banking, groceries, worship) plus group outings. No individual appointment rides; residents referred to third-party ride services and told so plainly.</t>
  </si>
  <si>
    <t xml:space="preserve">Included in the base fee</t>
  </si>
  <si>
    <t xml:space="preserve">Not discussed on the call</t>
  </si>
  <si>
    <t xml:space="preserve">Report only — not discussed</t>
  </si>
  <si>
    <t xml:space="preserve">BETTER</t>
  </si>
  <si>
    <t xml:space="preserve">Adds individually scheduled medical-appointment rides on weekdays, door-to-door, within a defined standard route or county. Posted rate beyond the area and for unscheduled personal rides. Days, hours, booking lead time and capacity rule published.</t>
  </si>
  <si>
    <t xml:space="preserve">Included, plus a published price list</t>
  </si>
  <si>
    <t xml:space="preserve">BEST</t>
  </si>
  <si>
    <t xml:space="preserve">Adds a monthly allowance of personal on-demand trips, an on-campus circulator, escorted appointment service, a stated dialysis and recurring-therapy policy, and concierge-booked airport runs.</t>
  </si>
  <si>
    <t xml:space="preserve">All-inclusive fee</t>
  </si>
  <si>
    <t xml:space="preserve">Life Enrichment</t>
  </si>
  <si>
    <t xml:space="preserve">Full access to the main community calendar, fitness centre, pool and common areas on the same basis as apartment residents. Outings and ticketed events pay-per-use.</t>
  </si>
  <si>
    <t xml:space="preserve">Adds cottage-neighbourhood programming: block events, a resident council and a cottage liaison. Excursions and specialty classes priced per use.</t>
  </si>
  <si>
    <t xml:space="preserve">Included, plus priced classes</t>
  </si>
  <si>
    <t xml:space="preserve">Not discussed on the call. NOTE: Curtis raised a weekly happy hour from life enrichment at 14:27, contingent on "they're going to get an extra 8 hours a week".</t>
  </si>
  <si>
    <t xml:space="preserve">Report only — one related remark</t>
  </si>
  <si>
    <t xml:space="preserve">Adds concierge-booked excursions, specialty classes and personal training funded by a monthly enrichment credit, with priority registration for limited-seat events.</t>
  </si>
  <si>
    <t xml:space="preserve">Culinary</t>
  </si>
  <si>
    <t xml:space="preserve">NOT OFFERED</t>
  </si>
  <si>
    <t xml:space="preserve">No meal offering at communities where the dining room cannot seat cottage residents.</t>
  </si>
  <si>
    <t xml:space="preserve">Not offered</t>
  </si>
  <si>
    <t xml:space="preserve">Kevin 16:01 "you might have to add another category for culinary, which is worst, which means I can't do it." Kevin 11:42 "In a community type where they don't have a large enough dining room, honestly, I don't want to offer anything." Kevin 2:46 gives the case: "if you had a standalone MC and you had villas around it. You have no ability to feed them in the main building."</t>
  </si>
  <si>
    <t xml:space="preserve">Confirmed on call</t>
  </si>
  <si>
    <t xml:space="preserve">Dining venues open to cottage residents at posted prices, eaten in the main building. Weekly coffee social or continental breakfast at the clubhouse. Guest meals à la carte. Resident pickup permitted. No delivery.</t>
  </si>
  <si>
    <t xml:space="preserve">Purchased — not in the fee</t>
  </si>
  <si>
    <t xml:space="preserve">Kevin 0:03 "a general rule for me would be you can purchase meals as a meal package or meals a la carte, but you have to come to the main building to eat them." Kevin 12:08 on pickup: "Pick up is better."</t>
  </si>
  <si>
    <t xml:space="preserve">Adds a purchased meal package or à la carte meals, eaten in the main building, plus resident pickup. Available only where the dining room has capacity.</t>
  </si>
  <si>
    <t xml:space="preserve">Kevin 11:21 "I want to offer a la carte meals or meal packages that a resident can... buy where they come into the main building and eat a meal where that is possible, in community types where that is possible."</t>
  </si>
  <si>
    <t xml:space="preserve">A limited included meal allowance, staggered to protect the dining room, rising to an included daily meal only where genuine surplus dining capacity exists and the unit is priced at full IL rate.</t>
  </si>
  <si>
    <t xml:space="preserve">Included — capacity-gated</t>
  </si>
  <si>
    <t xml:space="preserve">Kevin 4:12 is the ceiling he offered: "I wouldn't give it away... I guess you could include one meal a week or something like that... not every day of the week, and then hope for them to stagger that enough." Curtis 3:50 described the top case: "the best where it's like Plymouth and it's included like an IL apartment at full rate."</t>
  </si>
  <si>
    <t xml:space="preserve">Partly agreed — Kevin resisted daily inclusion</t>
  </si>
  <si>
    <t xml:space="preserve">Settings: Housekeeping</t>
  </si>
  <si>
    <t xml:space="preserve">No housekeeping offering at communities that cannot staff it.</t>
  </si>
  <si>
    <t xml:space="preserve">Justin 15:17 "we'd have to go community by community, because I can't universally say that." Curtis 15:30 gave the case: "an Arbor Grove with four apartments or whatever... if we can, we'll help, but otherwise we're not going to do it."</t>
  </si>
  <si>
    <t xml:space="preserve">À la carte only, at a published rate on a unit we define. Move-in and move-out turnover clean.</t>
  </si>
  <si>
    <t xml:space="preserve">Justin 7:47 "moving forward, we would change it to... hey, it's a la carte. Do you want the package, right?" Justin 14:26 "we a la carte includes the packages." Justin 8:55 on who sets the unit: "Yes, yeah, we would define it right."</t>
  </si>
  <si>
    <t xml:space="preserve">A defined package available for purchase, plus à la carte add-ons and scheduling. The package contents are not yet defined.</t>
  </si>
  <si>
    <t xml:space="preserve">Purchased. OPEN: the report and the market put bi-weekly INSIDE the fee; Justin framed it as purchased.</t>
  </si>
  <si>
    <t xml:space="preserve">Justin 9:13 "if we were to put a package in place, it would say, we're going to do these 10 things as part of the package." Justin 14:58 conditions: "they have the right equipment, the right people... we determine what that's actually going to be and it's not a loss in revenue."</t>
  </si>
  <si>
    <t xml:space="preserve">OPEN — decision needed</t>
  </si>
  <si>
    <t xml:space="preserve">Weekly housekeeping with flat-linen service included, plus an annual deep clean.</t>
  </si>
  <si>
    <t xml:space="preserve">Included in the fee</t>
  </si>
  <si>
    <t xml:space="preserve">NOT agreed by Justin. He never agreed to put housekeeping in the fee. Live counter-example: Flourish runs this today and Justin 7:13 said "Yeah, we are right now, but it's got to change", because a proper clean takes "two to three, maybe 4 hours" (6:27).</t>
  </si>
  <si>
    <t xml:space="preserve">NOT CONFIRMED — contradicted by Flourish</t>
  </si>
  <si>
    <t xml:space="preserve">Settings: Maintenance</t>
  </si>
  <si>
    <t xml:space="preserve">All exterior maintenance, lawn, landscaping, snow and ice, plus repair of community-owned appliances and systems. Business-hours work orders with an emergency line.</t>
  </si>
  <si>
    <t xml:space="preserve">Maintenance was NOT discussed as a separate service line on the recorded portion of the call.</t>
  </si>
  <si>
    <t xml:space="preserve">NOT CONFIRMED with owner</t>
  </si>
  <si>
    <t xml:space="preserve">Adds 24-hour emergency maintenance and preventive interior work (filters, detectors, seasonal checks). Resident-requested handyman jobs at a posted rate.</t>
  </si>
  <si>
    <t xml:space="preserve">Included, plus a posted handyman rate</t>
  </si>
  <si>
    <t xml:space="preserve">Adds included handyman hours each month, seasonal exterior services (gutters, power-washing, windows) and a scheduled interior refresh cycle.</t>
  </si>
  <si>
    <t xml:space="preserve">MIM audit</t>
  </si>
  <si>
    <t xml:space="preserve">Live formula. If any option is ever set to something other than Yes, this reads FAIL.</t>
  </si>
  <si>
    <t xml:space="preserve">Status key:</t>
  </si>
  <si>
    <t xml:space="preserve">Open / partly agreed</t>
  </si>
  <si>
    <t xml:space="preserve">Not confirmed with the owner</t>
  </si>
  <si>
    <t xml:space="preserve">Report only, not discussed</t>
  </si>
  <si>
    <t xml:space="preserve">Four decisions still open</t>
  </si>
  <si>
    <t xml:space="preserve">1. Housekeeping at Better and Best: in the fee, or purchased?</t>
  </si>
  <si>
    <t xml:space="preserve">The report and the market put bi-weekly housekeeping inside the fee — of the communities that mention housekeeping, 87% include it. Justin framed it as purchased at 14:26. This is the single biggest open item and it decides two rows above.</t>
  </si>
  <si>
    <t xml:space="preserve">2. Is Not Offered a level, or a separate feasibility flag?</t>
  </si>
  <si>
    <t xml:space="preserve">It currently sits as a level for Culinary and Housekeeping. It is arguably a capability answer rather than a service level, in which case it should be a per-community flag applied across all five functions.</t>
  </si>
  <si>
    <t xml:space="preserve">3. Do we pursue a limited included meal at Culinary Best?</t>
  </si>
  <si>
    <t xml:space="preserve">Kevin offered one meal a week, staggered, at 4:12, and resisted daily inclusion. The alternative is to keep Best as dine-in only where surplus capacity genuinely exists.</t>
  </si>
  <si>
    <t xml:space="preserve">4. Pricing unit for housekeeping.</t>
  </si>
  <si>
    <t xml:space="preserve">Justin floated 25 cents per square foot at 8:36, prefaced "we might say". Curtis pushed a structured hour at 8:50. The market supports an hourly rate and a monthly package; nothing in the 215-community study prices housekeeping by square foot.</t>
  </si>
  <si>
    <t xml:space="preserve">Numbers that came up on the call but are NOT commitments</t>
  </si>
  <si>
    <t xml:space="preserve">Figure</t>
  </si>
  <si>
    <t xml:space="preserve">Who said it</t>
  </si>
  <si>
    <t xml:space="preserve">25 cents per square foot, minus the garage</t>
  </si>
  <si>
    <t xml:space="preserve">Justin, 8:36</t>
  </si>
  <si>
    <t xml:space="preserve">Hypothetical. Prefaced "we might say". Not a rate.</t>
  </si>
  <si>
    <t xml:space="preserve">40 to 50 dollars for one hour a week</t>
  </si>
  <si>
    <t xml:space="preserve">Curtis, 15:07</t>
  </si>
  <si>
    <t xml:space="preserve">Curtis's own illustration. Justin agreed to the good/better/best structure, not to the price.</t>
  </si>
  <si>
    <t xml:space="preserve">At least 30% product degradation in transit</t>
  </si>
  <si>
    <t xml:space="preserve">Kevin, 4:56</t>
  </si>
  <si>
    <t xml:space="preserve">His stated figure, and the basis of his refusal to deliver.</t>
  </si>
  <si>
    <t xml:space="preserve">Two to three, maybe four hours to clean a Flourish cottage</t>
  </si>
  <si>
    <t xml:space="preserve">Justin, 6:27</t>
  </si>
  <si>
    <t xml:space="preserve">His stated figure.</t>
  </si>
  <si>
    <t xml:space="preserve">One FTE a day / an extra 8 hours a week</t>
  </si>
  <si>
    <t xml:space="preserve">Curtis, 1:13 and 14:27</t>
  </si>
  <si>
    <t xml:space="preserve">Curtis's illustration of the staffing ask, not an agreed amount.</t>
  </si>
  <si>
    <t xml:space="preserve">Scope note: this grid covers only the five functions requested. The full ten-function recommendation remains on the Good-Better-Best tab. Culinary and Settings rows reflect the 17 September call; Transportation, Life Enrichment and Maintenance reflect the market research only and have not been put to the owning leader.</t>
  </si>
  <si>
    <t xml:space="preserve">Service Element Detail — every element, and whether it is Included, À la carte or Not offered at each level</t>
  </si>
  <si>
    <t xml:space="preserve">This is the detail behind the Good-Better-Best tab. Each row is one concrete service element. Green means included in the fee, amber means available at a posted price, grey means not offered. The market prevalence column shows how many of the 215 communities in the villa study mention that element, so each recommendation sits next to its competitive frequency.</t>
  </si>
  <si>
    <t xml:space="preserve">Service element</t>
  </si>
  <si>
    <t xml:space="preserve">Market prevalence (villa study, n = 215)</t>
  </si>
  <si>
    <t xml:space="preserve">Who offers it in the data (Witzgall / Wood / Saxman / named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</si>
  <si>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</si>
  <si>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</si>
  <si>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</si>
  <si>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</si>
  <si>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</si>
  <si>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</si>
  <si>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</si>
  <si>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</si>
  <si>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</si>
  <si>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Verified at Garbry Ridge, whose cottage page lists "routine outings to local and regional events" — though note the same phrase also appears on its apartment page, so it is a shared amenity rather than a cottage substitute. Laurel Lake runs free courtesy trips to "the symphony, theater and regional attractions"; Swanhaven runs outings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</si>
  <si>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</si>
  <si>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</si>
  <si>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</si>
  <si>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</si>
  <si>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</si>
  <si>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and it is drawn OPERATOR-WIDE rather than against cottages. New Perspective states it "does not provide transportation to appointments" and only helps coordinate a rideshare, for apartment residents as much as cottage residents. At Garbry Ridge the cottage inclusions list omits transportation while the apartment list names it, the one such case found. DIALYSIS AND RECURRING THERAPY WERE NEVER NAMED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</si>
  <si>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</si>
  <si>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</si>
  <si>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A la carte at a posted per-mile or per-trip rate</t>
  </si>
  <si>
    <t xml:space="preserve">A la carte at a posted rate, with named destination hospitals inside the included area</t>
  </si>
  <si>
    <t xml:space="preserve">NO COMMUNITY PUBLISHES A MILEAGE RADIUS. Two apparent exceptions were falsified on verification. Real boundaries are jurisdictional or vague: "There are charges for out of county rides" (verified), "local", a named-city limit, and one operator admitting to "a defined geographic area" without stating it. Witzgall is the only source in the project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</si>
  <si>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</si>
  <si>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</si>
  <si>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</si>
  <si>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</si>
  <si>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</si>
  <si>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</si>
  <si>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</si>
  <si>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</si>
  <si>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</si>
  <si>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</si>
  <si>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</si>
  <si>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</si>
  <si>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</si>
  <si>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</si>
  <si>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</si>
  <si>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</si>
  <si>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</si>
  <si>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</si>
  <si>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</si>
  <si>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</si>
  <si>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</si>
  <si>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</si>
  <si>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</si>
  <si>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</si>
  <si>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</si>
  <si>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VERIFIED FINDING, REVERSED FROM AN EARLIER DRAFT: cottage residents generally get the SAME service as apartment residents, and occasionally BETTER (Zarrow Pointe villas get a private car and driver; apartments get a plain shuttle). Across seven communities there were ZERO verified cases of a lesser cottage tier. What varies is whether the operator states the terms at all.</t>
  </si>
  <si>
    <t xml:space="preserve">Parity is the market norm, so matching it is table stakes. The opportunity is to STATE the terms explicitly, which almost nobody does, or to differentiate upward as Zarrow Pointe does.</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</si>
  <si>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</si>
  <si>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</si>
  <si>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</si>
  <si>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</si>
  <si>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THE BIGGEST COMPETITIVE OPPORTUNITY IN THIS FUNCTION. After verification, across ~50 communities: ZERO published a mileage radius, ZERO published days of the week, ZERO published hours, ZERO published a booking lead time in hours, ZERO published a price for any paid tier, and ONE published a booking requirement ("You must sign up to go on the scheduled routes"). Wheelchair accessibility was claimed at exactly one community.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</si>
  <si>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</si>
  <si>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</si>
  <si>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</si>
  <si>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</si>
  <si>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</si>
  <si>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</si>
  <si>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</si>
  <si>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</si>
  <si>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</si>
  <si>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</si>
  <si>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</si>
  <si>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</si>
  <si>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</si>
  <si>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</si>
  <si>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</si>
  <si>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</si>
  <si>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</si>
  <si>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</si>
  <si>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</si>
  <si>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</si>
  <si>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</si>
  <si>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</si>
  <si>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</si>
  <si>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</si>
  <si>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</si>
  <si>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</si>
  <si>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</si>
  <si>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</si>
  <si>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</si>
  <si>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</si>
  <si>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</si>
  <si>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</si>
  <si>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</si>
  <si>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</si>
  <si>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</si>
  <si>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</si>
  <si>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</si>
  <si>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</si>
  <si>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</si>
  <si>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</si>
  <si>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</si>
  <si>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</si>
  <si>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</si>
  <si>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</si>
  <si>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</si>
  <si>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</si>
  <si>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</si>
  <si>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</si>
  <si>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</si>
  <si>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</si>
  <si>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</si>
  <si>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</si>
  <si>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</si>
  <si>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</si>
  <si>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</si>
  <si>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</si>
  <si>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</si>
  <si>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</si>
  <si>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</si>
  <si>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</si>
  <si>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</si>
  <si>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</si>
  <si>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</si>
  <si>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</si>
  <si>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</si>
  <si>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</si>
  <si>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</si>
  <si>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</si>
  <si>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</si>
  <si>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</si>
  <si>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</si>
  <si>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</si>
  <si>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</si>
  <si>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</si>
  <si>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</si>
  <si>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</si>
  <si>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</si>
  <si>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</si>
  <si>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</si>
  <si>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</si>
  <si>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</si>
  <si>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</si>
  <si>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</si>
  <si>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</si>
  <si>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</si>
  <si>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</si>
  <si>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</si>
  <si>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</si>
  <si>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</si>
  <si>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</si>
  <si>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</si>
  <si>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</si>
  <si>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</si>
  <si>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</si>
  <si>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</si>
  <si>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</si>
  <si>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</si>
  <si>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</si>
  <si>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</si>
  <si>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</si>
  <si>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</si>
  <si>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</si>
  <si>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</si>
  <si>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</si>
  <si>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</si>
  <si>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</si>
  <si>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</si>
  <si>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</si>
  <si>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</si>
  <si>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</si>
  <si>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</si>
  <si>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</si>
  <si>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</si>
  <si>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</si>
  <si>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</si>
  <si>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</si>
  <si>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</si>
  <si>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</si>
  <si>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</si>
  <si>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</si>
  <si>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</si>
  <si>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</si>
  <si>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</si>
  <si>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</si>
  <si>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</si>
  <si>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</si>
  <si>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</si>
  <si>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</si>
  <si>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</si>
  <si>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</si>
  <si>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</si>
  <si>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</si>
  <si>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</si>
  <si>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</si>
  <si>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</si>
  <si>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</si>
  <si>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</si>
  <si>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</si>
  <si>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</si>
  <si>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</si>
  <si>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</si>
  <si>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</si>
  <si>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</si>
  <si>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</si>
  <si>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</si>
  <si>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</si>
  <si>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</si>
  <si>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</si>
  <si>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</si>
  <si>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</si>
  <si>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</si>
  <si>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</si>
  <si>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</si>
  <si>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</si>
  <si>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</si>
  <si>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</si>
  <si>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</si>
  <si>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</si>
  <si>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</si>
  <si>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</si>
  <si>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</si>
  <si>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</si>
  <si>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</si>
  <si>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</si>
  <si>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</si>
  <si>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</si>
  <si>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</si>
  <si>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</si>
  <si>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</si>
  <si>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</si>
  <si>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</si>
  <si>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</si>
  <si>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</si>
  <si>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</si>
  <si>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</si>
  <si>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</si>
  <si>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</si>
  <si>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</si>
  <si>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</si>
  <si>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</si>
  <si>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</si>
  <si>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</si>
  <si>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</si>
  <si>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</si>
  <si>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</si>
  <si>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</si>
  <si>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</si>
  <si>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</si>
  <si>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</si>
  <si>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</si>
  <si>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</si>
  <si>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</si>
  <si>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</si>
  <si>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</si>
  <si>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</si>
  <si>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</si>
  <si>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</si>
  <si>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</si>
  <si>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</si>
  <si>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</si>
  <si>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</si>
  <si>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</si>
  <si>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</si>
  <si>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</si>
  <si>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</si>
  <si>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</si>
  <si>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</si>
  <si>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</si>
  <si>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</si>
  <si>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</si>
  <si>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</si>
  <si>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</si>
  <si>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</si>
  <si>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</si>
  <si>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</si>
  <si>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</si>
  <si>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</si>
  <si>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</si>
  <si>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</si>
  <si>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</si>
  <si>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</si>
  <si>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</si>
  <si>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</si>
  <si>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</si>
  <si>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</si>
  <si>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</si>
  <si>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</si>
  <si>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</si>
  <si>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</si>
  <si>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</si>
  <si>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</si>
  <si>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</si>
  <si>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</si>
  <si>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</si>
  <si>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</si>
  <si>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À la carte — available at a posted price</t>
  </si>
  <si>
    <t xml:space="preserve">Not offered at this level</t>
  </si>
  <si>
    <t xml:space="preserve">Prevalence counts are keyword matches over the villa study amenity text. "0 of 215" means the element appears only in the Witzgall, Wood or Saxman material, or in none of the sources.</t>
  </si>
  <si>
    <t xml:space="preserve">Service Docs Linear — every service element, reorganised by level</t>
  </si>
  <si>
    <t xml:space="preserve">The same data as the Service Elements tab, run linear. Each function sits in column A. Column B holds GOOD, BETTER and BEST as three rows beneath it. Read one row and you have the complete service specification for that function at that level: what is included in the fee, what is sold at a posted price, what is not offered, and any element whose value is a specification rather than a simple status. Every one of the 72 elements appears in exactly one column on every row, so nothing is dropped.</t>
  </si>
  <si>
    <t xml:space="preserve">INCLUDED in the fee at this level</t>
  </si>
  <si>
    <t xml:space="preserve">À LA CARTE at this level (available at a posted price)</t>
  </si>
  <si>
    <t xml:space="preserve">NOT OFFERED at this level</t>
  </si>
  <si>
    <t xml:space="preserve">SPECIFIED AS — elements whose value is a spec rather than a status</t>
  </si>
  <si>
    <t xml:space="preserve">(2)
• Scheduled group shuttle to a published set of destinations
• Group outings and excursions to events (with outing)</t>
  </si>
  <si>
    <t xml:space="preserve">(5)
• Individually scheduled medical-appointment rides (referred to third-party ride services)
• Trips beyond the included area
• Unscheduled / personal on-demand rides
• On-campus circulator (home to clubhouse, dining, fitness)
• After-hours and airport runs</t>
  </si>
  <si>
    <t xml:space="preserve">(3)
• Level of assistance → Curb-to-curb
• Villa / cottage eligibility → Same service as apartment residents; central pickup point
• Published service terms (days, hours, lead time, capacity rule) → Published at move-in</t>
  </si>
  <si>
    <t xml:space="preserve">(3)
• Scheduled group shuttle to a published set of destinations
• Group outings and excursions to events (with outing)
• Individually scheduled medical-appointment rides (weekdays)</t>
  </si>
  <si>
    <t xml:space="preserve">(3)
• Trips beyond the included area (at a posted per-mile or per-trip rate)
• Unscheduled / personal on-demand rides (per hour or per mile)
• After-hours and airport runs</t>
  </si>
  <si>
    <t xml:space="preserve">(1)
• On-campus circulator (home to clubhouse, dining, fitness)</t>
  </si>
  <si>
    <t xml:space="preserve">(3)
• Level of assistance → Door-to-door
• Villa / cottage eligibility → Same service, with pickup at the villa door
• Published service terms (days, hours, lead time, capacity rule) → Published, with 24-48 hour booking and a stated medical priority</t>
  </si>
  <si>
    <t xml:space="preserve">(5)
• Scheduled group shuttle to a published set of destinations
• Group outings and excursions to events (with outing, plus an annual outing credit)
• Individually scheduled medical-appointment rides (any day, with a stated dialysis and recurring-therapy policy)
• Unscheduled / personal on-demand rides (allowance of personal trips per month, then a la carte)
• On-campus circulator (home to clubhouse, dining, fitness)</t>
  </si>
  <si>
    <t xml:space="preserve">(2)
• Trips beyond the included area (at a posted rate, with named destination hospitals inside the included area)
• After-hours and airport runs (booked through concierge)</t>
  </si>
  <si>
    <t xml:space="preserve">(3)
• Level of assistance → Escort into and through the appointment, by arrangement
• Villa / cottage eligibility → Same service, with priority routing for the cottage neighbourhood
• Published service terms (days, hours, lead time, capacity rule) → Published, with guaranteed medical seats and third-party overflow at community cost</t>
  </si>
  <si>
    <t xml:space="preserve">(2)
• Access to main-community calendar, events, clubs and common areas
• Fitness center, pool and wellness-center access</t>
  </si>
  <si>
    <t xml:space="preserve">(2)
• Off-campus excursions and ticketed events (at cost)
• Specialty classes and workshop materials</t>
  </si>
  <si>
    <t xml:space="preserve">(3)
• Cottage-neighborhood programming (block events, resident council, cottage liaison)
• Personal training / small-group instruction
• Priority registration and concierge booking for limited-seat events</t>
  </si>
  <si>
    <t xml:space="preserve">(3)
• Access to main-community calendar, events, clubs and common areas
• Fitness center, pool and wellness-center access
• Cottage-neighborhood programming (block events, resident council, cottage liaison)</t>
  </si>
  <si>
    <t xml:space="preserve">(3)
• Off-campus excursions and ticketed events (at cost)
• Specialty classes and workshop materials
• Personal training / small-group instruction</t>
  </si>
  <si>
    <t xml:space="preserve">(1)
• Priority registration and concierge booking for limited-seat events</t>
  </si>
  <si>
    <t xml:space="preserve">(6)
• Access to main-community calendar, events, clubs and common areas
• Fitness center, pool and wellness-center access
• Cottage-neighborhood programming (block events, resident council, cottage liaison)
• Off-campus excursions and ticketed events (annual outing credit), then at cost)
• Specialty classes and workshop materials (enrichment credit)
• Priority registration and concierge booking for limited-seat events</t>
  </si>
  <si>
    <t xml:space="preserve">(1)
• Personal training / small-group instruction (discounted)</t>
  </si>
  <si>
    <t xml:space="preserve">(1)
• Access to all community dining venues at posted prices (access)</t>
  </si>
  <si>
    <t xml:space="preserve">(1)
• Guest meals</t>
  </si>
  <si>
    <t xml:space="preserve">(5)
• Declining-balance dining credit usable at any venue
• Fixed meal plan (1 meal/day, or 10–30 meals/month)
• Full 3-meal plan
• Villa meal delivery
• Private dining / catering for resident events</t>
  </si>
  <si>
    <t xml:space="preserve">(1)
• Continental breakfast → Weekly breakfast social at clubhouse</t>
  </si>
  <si>
    <t xml:space="preserve">(3)
• Access to all community dining venues at posted prices (access)
• Continental breakfast (daily)
• Declining-balance dining credit usable at any venue (modest monthly credit)</t>
  </si>
  <si>
    <t xml:space="preserve">(5)
• Fixed meal plan (1 meal/day, or 10–30 meals/month) (optional plan)
• Full 3-meal plan (upgrade)
• Guest meals
• Villa meal delivery (per-delivery fee)
• Private dining / catering for resident events</t>
  </si>
  <si>
    <t xml:space="preserve">(6)
• Access to all community dining venues at posted prices (access)
• Continental breakfast (daily (plus Sunday brunch)
• Declining-balance dining credit usable at any venue (larger monthly credit or meal plan below)
• Fixed meal plan (1 meal/day, or 10–30 meals/month) (1/day or 20–30/month)
• Guest meals (monthly guest allowance)
• Villa meal delivery</t>
  </si>
  <si>
    <t xml:space="preserve">(2)
• Full 3-meal plan (upgrade)
• Private dining / catering for resident events (concierge-arranged)</t>
  </si>
  <si>
    <t xml:space="preserve">(1)
• Move-in / move-out turnover clean (turnover)</t>
  </si>
  <si>
    <t xml:space="preserve">(2)
• Routine housekeeping subscription (monthly subscription or hourly)
• Annual deep / spring clean</t>
  </si>
  <si>
    <t xml:space="preserve">(3)
• Upgrade to weekly cadence
• Flat-linen service (bed and bath)
• Carpet, window and specialty cleaning</t>
  </si>
  <si>
    <t xml:space="preserve">(2)
• Routine housekeeping subscription (bi-weekly)
• Move-in / move-out turnover clean (turnover)</t>
  </si>
  <si>
    <t xml:space="preserve">(4)
• Upgrade to weekly cadence (upgrade)
• Flat-linen service (bed and bath)
• Annual deep / spring clean
• Carpet, window and specialty cleaning</t>
  </si>
  <si>
    <t xml:space="preserve">(5)
• Routine housekeeping subscription (weekly)
• Upgrade to weekly cadence
• Flat-linen service (bed and bath) (weekly)
• Annual deep / spring clean (once per year)
• Move-in / move-out turnover clean (turnover)</t>
  </si>
  <si>
    <t xml:space="preserve">(1)
• Carpet, window and specialty cleaning</t>
  </si>
  <si>
    <t xml:space="preserve">(1)
• In-unit washer/dryer (or hookups) (residence feature)</t>
  </si>
  <si>
    <t xml:space="preserve">(2)
• Personal laundry service (wash, dry, fold)
• Linen service</t>
  </si>
  <si>
    <t xml:space="preserve">(2)
• Personal laundry service (wash, dry, fold) (per load or monthly package)
• Linen service</t>
  </si>
  <si>
    <t xml:space="preserve">(2)
• In-unit washer/dryer (or hookups) (residence feature)
• Linen service (weekly)</t>
  </si>
  <si>
    <t xml:space="preserve">(1)
• Personal laundry service (wash, dry, fold) (discounted package)</t>
  </si>
  <si>
    <t xml:space="preserve">(1)
• Fitness, pool and wellness programming on the campus calendar</t>
  </si>
  <si>
    <t xml:space="preserve">(5)
• Monthly on-site wellness clinic (blood pressure, weight, medication review)
• Daily check-in call or app check-in
• Annual wellness allowance or free health-center days
• Medication management
• Personal training</t>
  </si>
  <si>
    <t xml:space="preserve">(1)
• Home health, therapy and rehab access → Referral only</t>
  </si>
  <si>
    <t xml:space="preserve">(3)
• Fitness, pool and wellness programming on the campus calendar
• Monthly on-site wellness clinic (blood pressure, weight, medication review)
• Daily check-in call or app check-in (opt-in)</t>
  </si>
  <si>
    <t xml:space="preserve">(2)
• Medication management
• Personal training</t>
  </si>
  <si>
    <t xml:space="preserve">(1)
• Annual wellness allowance or free health-center days</t>
  </si>
  <si>
    <t xml:space="preserve">(1)
• Home health, therapy and rehab access → Coordinated on request (third-party rates)</t>
  </si>
  <si>
    <t xml:space="preserve">(4)
• Fitness, pool and wellness programming on the campus calendar
• Monthly on-site wellness clinic (blood pressure, weight, medication review)
• Daily check-in call or app check-in (opt-in)
• Annual wellness allowance or free health-center days</t>
  </si>
  <si>
    <t xml:space="preserve">(1)
• Home health, therapy and rehab access → Coordinated by a wellness navigator (third-party rates)</t>
  </si>
  <si>
    <t xml:space="preserve">(1)
• 24/7 monitored emergency call system (pendant or pull cords)</t>
  </si>
  <si>
    <t xml:space="preserve">(1)
• Replacement pendant / fob</t>
  </si>
  <si>
    <t xml:space="preserve">(4)
• Campus-wide mobile pendant (works outside the home)
• Gated or controlled entry / 24-hour security patrol
• In-home sensors / fall detection
• Lock-and-leave home checks while traveling</t>
  </si>
  <si>
    <t xml:space="preserve">(1)
• 24-hour on-site staff response to the cottages → Main-community response</t>
  </si>
  <si>
    <t xml:space="preserve">(3)
• 24/7 monitored emergency call system (pendant or pull cords)
• Campus-wide mobile pendant (works outside the home)
• 24-hour on-site staff response to the cottages (dedicated response protocol)</t>
  </si>
  <si>
    <t xml:space="preserve">(3)
• In-home sensors / fall detection
• Lock-and-leave home checks while traveling
• Replacement pendant / fob</t>
  </si>
  <si>
    <t xml:space="preserve">(1)
• Gated or controlled entry / 24-hour security patrol</t>
  </si>
  <si>
    <t xml:space="preserve">(6)
• 24/7 monitored emergency call system (pendant or pull cords)
• Campus-wide mobile pendant (works outside the home)
• 24-hour on-site staff response to the cottages (priority routing for cottage neighborhood)
• Gated or controlled entry / 24-hour security patrol
• In-home sensors / fall detection
• Lock-and-leave home checks while traveling</t>
  </si>
  <si>
    <t xml:space="preserve">(2)
• Exterior maintenance, lawn care, landscaping, snow and ice removal
• Repair and replacement of community-owned appliances and systems</t>
  </si>
  <si>
    <t xml:space="preserve">(1)
• Handyman for resident-requested work (hanging, assembly, small fixes)</t>
  </si>
  <si>
    <t xml:space="preserve">(2)
• Preventive interior maintenance (filters, detectors, seasonal checks)
• Seasonal extras (gutters, power-wash, window cleaning)</t>
  </si>
  <si>
    <t xml:space="preserve">(2)
• Work-order response → Business hours plus emergency line
• Interior refresh (paint, carpet) → At turnover</t>
  </si>
  <si>
    <t xml:space="preserve">(3)
• Exterior maintenance, lawn care, landscaping, snow and ice removal
• Repair and replacement of community-owned appliances and systems
• Preventive interior maintenance (filters, detectors, seasonal checks)</t>
  </si>
  <si>
    <t xml:space="preserve">(2)
• Handyman for resident-requested work (hanging, assembly, small fixes)
• Seasonal extras (gutters, power-wash, window cleaning)</t>
  </si>
  <si>
    <t xml:space="preserve">(2)
• Work-order response → 24-hour emergency maintenance
• Interior refresh (paint, carpet) → At turnover</t>
  </si>
  <si>
    <t xml:space="preserve">(5)
• Exterior maintenance, lawn care, landscaping, snow and ice removal
• Repair and replacement of community-owned appliances and systems
• Preventive interior maintenance (filters, detectors, seasonal checks)
• Handyman for resident-requested work (hanging, assembly, small fixes) (set hours per month), then à la carte)
• Seasonal extras (gutters, power-wash, window cleaning)</t>
  </si>
  <si>
    <t xml:space="preserve">(2)
• Work-order response → 24-hour with priority response
• Interior refresh (paint, carpet) → Scheduled cycle during tenancy</t>
  </si>
  <si>
    <t xml:space="preserve">(1)
• Water, sewer, trash and recycling</t>
  </si>
  <si>
    <t xml:space="preserve">(2)
• Phone
• Premium cable / streaming package</t>
  </si>
  <si>
    <t xml:space="preserve">(3)
• Electric and gas → Resident-paid
• Basic cable and Wi-Fi → Resident-paid
• Property taxes and building insurance (structure-dependent) → Not applicable (rental)</t>
  </si>
  <si>
    <t xml:space="preserve">(3)
• Water, sewer, trash and recycling
• Electric and gas
• Basic cable and Wi-Fi</t>
  </si>
  <si>
    <t xml:space="preserve">(1)
• Property taxes and building insurance (structure-dependent) → Not applicable (rental)</t>
  </si>
  <si>
    <t xml:space="preserve">(6)
• Water, sewer, trash and recycling
• Electric and gas
• Basic cable and Wi-Fi
• Phone
• Premium cable / streaming package
• Property taxes and building insurance (structure-dependent) (where the structure creates them)</t>
  </si>
  <si>
    <t xml:space="preserve">(2)
• Front-desk assistance during business hours
• Published à la carte menu with monthly-statement billing (short list)</t>
  </si>
  <si>
    <t xml:space="preserve">(2)
• Pet services (deposit/rent; walking, sitting, pet care)
• Salon and spa</t>
  </si>
  <si>
    <t xml:space="preserve">(5)
• Cottage services coordinator (single point of contact)
• 24/7 concierge
• Package receipt and delivery to the villa
• Vendor coordination (movers, tech help, contractors)
• Monthly convenience credit usable across the menu</t>
  </si>
  <si>
    <t xml:space="preserve">(4)
• Front-desk assistance during business hours
• Published à la carte menu with monthly-statement billing (full Base + Choice menu)
• Cottage services coordinator (single point of contact) (shared)
• Package receipt and delivery to the villa (pickup at desk)</t>
  </si>
  <si>
    <t xml:space="preserve">(3)
• Vendor coordination (movers, tech help, contractors)
• Pet services (deposit/rent; walking, sitting, pet care)
• Salon and spa</t>
  </si>
  <si>
    <t xml:space="preserve">(2)
• 24/7 concierge
• Monthly convenience credit usable across the menu</t>
  </si>
  <si>
    <t xml:space="preserve">(7)
• Front-desk assistance during business hours
• Published à la carte menu with monthly-statement billing (full menu)
• Cottage services coordinator (single point of contact) (dedicated)
• 24/7 concierge
• Package receipt and delivery to the villa (delivered)
• Vendor coordination (movers, tech help, contractors)
• Monthly convenience credit usable across the menu</t>
  </si>
  <si>
    <t xml:space="preserve">(1)
• Overall structure → Base rent covers residence, maintenance, base utilities, emergency response, campus access; everything else à la carte</t>
  </si>
  <si>
    <t xml:space="preserve">(1)
• Overall structure → Base plus a bundled mid-level service package (bi-weekly housekeeping, full utilities, dining credit, monthly clinic) with a transparent add-on menu</t>
  </si>
  <si>
    <t xml:space="preserve">(1)
• Overall structure → Bundled all-inclusive service package (weekly housekeeping and linen, daily meal, all utilities, concierge, wellness allowance)</t>
  </si>
  <si>
    <t xml:space="preserve">À la carte — posted price</t>
  </si>
  <si>
    <t xml:space="preserve">Specified as (a spec, not a status)</t>
  </si>
  <si>
    <t xml:space="preserve">Audit: 71 distinct service elements across 11 functions, each classified at all three levels (213 placements). Source of truth is the Service Elements tab; this tab is generated from it, so the two cannot drift apart. The "Specified as" column holds elements whose value at a level is a specification rather than an include/exclude call — for example a level of assistance of "Curb-to-curb", or a work-order response of "Business hours plus emergency line".</t>
  </si>
  <si>
    <t xml:space="preserve">Transportation — what the word actually means</t>
  </si>
  <si>
    <t xml:space="preserve">The villa study lists transportation at 55 communities. All 55 entries say only "Transportation" or "Transportation services". This tab breaks that word into the decisions it hides. It was built in two passes: a first research round across roughly 50 communities, then a VERIFICATION round that re-tested every important quote with exact-phrase and operator-domain-restricted probes. The verification round overturned several first-round findings, including the original headline. Where the two rounds disagree, the verified result is shown and the retraction is stated openly. Read Section F before quoting anything.</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</si>
  <si>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</si>
  <si>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</si>
  <si>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</si>
  <si>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</si>
  <si>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</si>
  <si>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</si>
  <si>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</si>
  <si>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</si>
  <si>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</si>
  <si>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</si>
  <si>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and the ONLY source anywhere in this project with actual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</si>
  <si>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</si>
  <si>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</si>
  <si>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</si>
  <si>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</si>
  <si>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</si>
  <si>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</si>
  <si>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</si>
  <si>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</si>
  <si>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</si>
  <si>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</si>
  <si>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and nothing more. Operators publish essentially no operational detail, and the directories that appear to supply it largely fabricate it.</t>
  </si>
  <si>
    <t xml:space="preserve">Low, repetitive, and in places actively misleading</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</si>
  <si>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</si>
  <si>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After a verification pass, the count of communities publishing a mileage radius is ZERO, publishing days of the week is ZERO, publishing a booking lead time in hours is ZERO, publishing a vehicle specification is effectively zero, and publishing a price for any paid tier is ZERO. Two apparent exceptions found in the first round were both traced to fabricated directory text.</t>
  </si>
  <si>
    <t xml:space="preserve">B. The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</si>
  <si>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</si>
  <si>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</si>
  <si>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</si>
  <si>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</si>
  <si>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</si>
  <si>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verified as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</si>
  <si>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</si>
  <si>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</si>
  <si>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</si>
  <si>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</si>
  <si>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never named); American Senior Communities garden homes (one corporate sentence used verbatim at five properties)</t>
  </si>
  <si>
    <t xml:space="preserve">Good fit as a floor. Cheap, social, and matched to residents who still drive.</t>
  </si>
  <si>
    <t xml:space="preserve">Free scheduled trips plus a paid personal tier</t>
  </si>
  <si>
    <t xml:space="preserve">The scheduled shuttle is free. Individual, off-schedule or longer trips are bought separately.</t>
  </si>
  <si>
    <t xml:space="preserve">Two-tier, and disclosed as existing — but never priced</t>
  </si>
  <si>
    <t xml:space="preserve">VERIFIED AT FOUR communities: Maple Knoll ("a nominal per-mile fee" for a chauffeur who will take residents "anywhere they want to go"); Laurel Lake ("for a fee, residents may also engage the services of a Laurel Lake driver... using one of their fleet vehicles for personal trips"); South Franklin Circle ("offered with no charge... additional personal transportation is available for a small fee"); Ohio Living Breckenridge (charges out of county, flat-fee escorted service).</t>
  </si>
  <si>
    <t xml:space="preserve">THE MAINSTREAM MODEL and the natural Better tier. Note it uses at least three different pricing mechanisms: per mile, flat fee, and operator-driver-and-vehicle at an unstated rate.</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</si>
  <si>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</si>
  <si>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</si>
  <si>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</si>
  <si>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in a list whose ordering was stable across four independent queries. The apartments get plain "Transportation to and from Doctor Appointments".</t>
  </si>
  <si>
    <t xml:space="preserve">A premium, differentiating option, and the ONE verified case anywhere of a villa product getting a BETTER service than the apartments.</t>
  </si>
  <si>
    <t xml:space="preserve">Fee-for-service throughout</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</si>
  <si>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</si>
  <si>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</si>
  <si>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Handbook, all verified: "There is a small fee for these services"; "There are charges for out of county rides"; "You must sign up to go on the scheduled routes"; and a branded escorted service, "Super Senior Transportation (SST) is an escorted personal driver service with flat fee charges", for residents "who need assistance throughout the appointment". Directories wrongly describe this community as covering transportation in the monthly fee.</t>
  </si>
  <si>
    <t xml:space="preserve">Viable for a Good tier if positioned honestly. Its virtue is transparency; its cost is that transportation then cannot be marketed as included.</t>
  </si>
  <si>
    <t xml:space="preserve">Outings included, appointments excluded OPERATOR-WIDE</t>
  </si>
  <si>
    <t xml:space="preserve">Group outings and events are covered. Medical and personal appointments are not provided to anyone; the community only helps coordinate a third-party ride.</t>
  </si>
  <si>
    <t xml:space="preserve">Outings included; appointments are the resident's own cost</t>
  </si>
  <si>
    <t xml:space="preserve">New Perspective Senior Living, verified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t>
  </si>
  <si>
    <t xml:space="preserve">Defensible and cheap. CRUCIAL CORRECTION: this exclusion applies to apartments too. At its Danville community the cottage inclusion list separately names "accessible bus transportation", so cottage residents are not singled out.</t>
  </si>
  <si>
    <t xml:space="preserve">C. The ten attributes that define a transportation offering, and the decision on each</t>
  </si>
  <si>
    <t xml:space="preserve">Attribute</t>
  </si>
  <si>
    <t xml:space="preserve">The question to answer</t>
  </si>
  <si>
    <t xml:space="preserve">What the research found (after verification)</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</si>
  <si>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</si>
  <si>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</si>
  <si>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Ohio Living likewise runs campus loop buses separately from off-campus routes.</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</si>
  <si>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</si>
  <si>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</si>
  <si>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</si>
  <si>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</si>
  <si>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</si>
  <si>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and shopping are near-universal. Banking and worship appear occasionally. DIALYSIS AND RECURRING THERAPY WERE NEVER NAMED BY ANY COMMUNITY, despite being operationally the heaviest demand. Airport appeared twice in the whole study.</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</si>
  <si>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</si>
  <si>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</si>
  <si>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</si>
  <si>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</si>
  <si>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</si>
  <si>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 COMMUNITY PUBLISHES A MILEAGE RADIUS. Both apparent exceptions found in round one were falsified in round two: a "5 mile radius" claim was absent from the operator's own domain, and a hospital named as a shuttle destination turned out not to exist. Real boundaries are JURISDICTIONAL or VAGUE: "There are charges for out of county rides" (verified), "local", and one operator's own admission of "a defined geographic area" without publishing it. The 10-to-15-mile figure is an industry norm from third-party guidance, corroborated only by Witzgall and Wood.</t>
  </si>
  <si>
    <t xml:space="preserve">Within a named county or a defined standard route; nothing beyond</t>
  </si>
  <si>
    <t xml:space="preserve">That area included; beyond at a posted per-mile or per-trip rate</t>
  </si>
  <si>
    <t xml:space="preserve">A wider defined area, with named destination hospitals inside it</t>
  </si>
  <si>
    <t xml:space="preserve">Cost to the resident</t>
  </si>
  <si>
    <t xml:space="preserve">Free, bundled, or charged? Per trip, per mile, per hour, or monthly?</t>
  </si>
  <si>
    <t xml:space="preserve">Scheduled local trips are usually included, but NOT always: Ohio Living charges and bills to the resident statement. Where a paid tier exists it is consistently disclosed and consistently unpriced. NOT ONE COMMUNITY IN THE STUDY PUBLISHED A DOLLAR RATE. The universal vocabulary is "nominal", "small fee", "for a fee", "at cost", "flat fee". Witzgall remains the only source in the project with actual prices.</t>
  </si>
  <si>
    <t xml:space="preserve">Scheduled group trips included; nothing else offered</t>
  </si>
  <si>
    <t xml:space="preserve">Scheduled included; unscheduled, private and out-of-area at posted rates</t>
  </si>
  <si>
    <t xml:space="preserve">Scheduled included plus a monthly allowance of personal trips, then posted rates</t>
  </si>
  <si>
    <t xml:space="preserve">Days and hours</t>
  </si>
  <si>
    <t xml:space="preserve">Which days does each trip type run, and what hours?</t>
  </si>
  <si>
    <t xml:space="preserve">NO COMMUNITY PUBLISHES DAYS OF THE WEEK OR HOURS. The one community reported in round one as publishing days was falsified in round two; that claim is withdrawn. The only frequency statements that survive are coarse: a weekly grocery run (Maple Knoll), "regularly scheduled weekly/monthly courtesy trips" (Laurel Lake) and "weekly" (Friendship Village Kalamazoo). Ohio Living keeps its route sheets on paper at the front desk, which is why no schedule is findable online.</t>
  </si>
  <si>
    <t xml:space="preserve">Set days per purpose, weekdays only, published</t>
  </si>
  <si>
    <t xml:space="preserve">Set days per purpose plus medical any weekday, published</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</si>
  <si>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</si>
  <si>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</si>
  <si>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</si>
  <si>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community with any booking language, and both halves are verified: "You must sign up to go on the scheduled routes", with route sheets at the front desk, and "Advance notice is very helpful to accommodate your transportation needs" — which is explicitly SOFT, with no fixed hour requirement anywhere. Because nobody publishes a rule, this must be designed rather than inherited.</t>
  </si>
  <si>
    <t xml:space="preserve">Sign-up sheet at the desk; a stated notice period</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</si>
  <si>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</si>
  <si>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</si>
  <si>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</si>
  <si>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</si>
  <si>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Targeted searching for "when space permits" style qualifiers across the detached-cottage set returned nothing, and the one detailed capacity claim round one found was falsified (see Section F). The nearest real language is an operator handbook warning that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</si>
  <si>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</si>
  <si>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</si>
  <si>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</si>
  <si>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</si>
  <si>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</si>
  <si>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and a staffing count claimed in round one was falsified in round two. Buses are named at several communities; Laurel Lake's paid tier notably uses "one of their fleet vehicles", an operator-owned car with an operator-employed driver rather than a rideshare handoff. WHEELCHAIR ACCESSIBILITY WAS CLAIMED AT EXACTLY ONE COMMUNITY in the whole study, in a cottage inclusion list naming "accessible bus transportation". Everywhere else it is unstated, which is a striking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</si>
  <si>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</si>
  <si>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</si>
  <si>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</si>
  <si>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</si>
  <si>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marketable distinction that almost nobody makes. Ohio Living sells it as a branded, flat-fee product: an "escorted personal driver service" for residents "who need assistance throughout the appointment". Robin Run advertises "door-to-door services". Everyone else is silent.</t>
  </si>
  <si>
    <t xml:space="preserve">Door-to-door with driver assistance</t>
  </si>
  <si>
    <t xml:space="preserve">Do detached-home residents get the same service as apartment residents?</t>
  </si>
  <si>
    <t xml:space="preserve">THE HEADLINE FINDING, AND IT REVERSED ON VERIFICATION. Cottage residents generally get the SAME service, occasionally better. See Section E.</t>
  </si>
  <si>
    <t xml:space="preserve">Same as apartment residents, stated explicitly; central pickup point</t>
  </si>
  <si>
    <t xml:space="preserve">Same, with pickup at the villa door</t>
  </si>
  <si>
    <t xml:space="preserve">Same, plus priority routing for the cottage neighbourhood</t>
  </si>
  <si>
    <t xml:space="preserve">D. Community evidence, after verification</t>
  </si>
  <si>
    <t xml:space="preserve">VERIFIED = an exact-phrase or operator-domain-restricted probe returned the operator's own page and reproduced the wording. LIKELY = reproduced consistently but not bindable by probe, often because the page is a PDF or a CMS page that is not phrase-indexed. FALSIFIED = the wording does not exist on the operator's site and appears only on directories. Even VERIFIED rows should get one confirming page load before external publication.</t>
  </si>
  <si>
    <t xml:space="preserve">Community</t>
  </si>
  <si>
    <t xml:space="preserve">Operator / villa product</t>
  </si>
  <si>
    <t xml:space="preserve">What the operator actually publishes</t>
  </si>
  <si>
    <t xml:space="preserve">Why it matters</t>
  </si>
  <si>
    <t xml:space="preserve">Ohio Living Breckenridge Village, OH</t>
  </si>
  <si>
    <t xml:space="preserve">Ohio Living; 73 Ranch Homes</t>
  </si>
  <si>
    <t xml:space="preserve">Resident handbooks, all verified: campus loop buses plus off-campus scheduled routes; "You must sign up to go on the scheduled routes", with bus route sheets at the front desk; "Advance notice is very helpful to accommodate your transportation needs" (explicitly soft, no fixed hours); and "Super Senior Transportation (SST) is an escorted personal driver service with flat fee charges", for residents "who need assistance throughout the appointment". Geographic rule: "There are charges for out of county rides."</t>
  </si>
  <si>
    <t xml:space="preserve">FEE-FOR-SERVICE. "There is a small fee for these services"; rides billed to the resident statement; SST at flat fees. Rates live in a transportation booklet that "is available at the front desk", deliberately not online.</t>
  </si>
  <si>
    <t xml:space="preserve">NOT PUBLISHED. Only four handbooks exist, all for apartment buildings. The 73 ranch homes have no handbook, so their terms are neither stated as the same nor as different. DO NOT ASSERT PARITY.</t>
  </si>
  <si>
    <t xml:space="preserve">VERIFIED (operator-domain probes recovered handbook text)</t>
  </si>
  <si>
    <t xml:space="preserve">THE MOST IMPORTANT CORRECTION to the assumption that transportation is an included amenity, and the richest operational detail in the study. Directories describe this community as covering transportation in the monthly fee. The handbook says otherwise.</t>
  </si>
  <si>
    <t xml:space="preserve">Maple Knoll Village, Cincinnati, OH</t>
  </si>
  <si>
    <t xml:space="preserve">Maple Knoll Communities; 142 villas, 135 apartments</t>
  </si>
  <si>
    <t xml:space="preserve">Two named services: "Shuttle on Demand", which is an ON-CAMPUS circulator, plus a weekly run to an area grocery store; and a "Chauffeur Service" covering "doctor appointments, the airport, and more", which will take residents "anywhere they want to go". Residents can also get assistance setting up transportation through Uber Health.</t>
  </si>
  <si>
    <t xml:space="preserve">Two-tier, and the only PER-MILE basis found anywhere: the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</si>
  <si>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</si>
  <si>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VERIFIED, with two round-one claims withdrawn: a "three full-time bus drivers" staffing count returned zero results and is removed, and Uber Health is a referral rather than brokering.</t>
  </si>
  <si>
    <t xml:space="preserve">The most sophisticated model found. The on-campus versus off-campus split is a real product distinction almost nobody else draws in writing, and it is the most relevant one for a spread-out cottage site.</t>
  </si>
  <si>
    <t xml:space="preserve">Laurel Lake, Hudson, OH</t>
  </si>
  <si>
    <t xml:space="preserve">The Villas, 1,600–2,700+ sq ft</t>
  </si>
  <si>
    <t xml:space="preserve">Community FAQ: buses run "regularly scheduled weekly/monthly courtesy trips" and special events "like the symphony, theater and regional attractions". Additionally, "for a fee, residents may also engage the services of a Laurel Lake driver, using one of their fleet vehicles for personal trips."</t>
  </si>
  <si>
    <t xml:space="preserve">Two-tier. Courtesy trips free on a fixed weekly/monthly schedule; the paid tier is an operator-employed driver in an operator-owned vehicle, which is a different instrument from a rideshare referral. Fee amount unpublished.</t>
  </si>
  <si>
    <t xml:space="preserve">Likely but not explicit.</t>
  </si>
  <si>
    <t xml:space="preserve">VERIFIED (the paid-tier sentence was the single strongest phrase match in the whole verification round)</t>
  </si>
  <si>
    <t xml:space="preserve">The only community treating CULTURAL EXCURSIONS as a distinct free service line, so its free tier is broader than a grocery-run model.</t>
  </si>
  <si>
    <t xml:space="preserve">South Franklin Circle, Chagrin Falls, OH</t>
  </si>
  <si>
    <t xml:space="preserve">Judson Smart Living; 27 cottage homes, 16 garden homes</t>
  </si>
  <si>
    <t xml:space="preserve">Exact operator wording: "Scheduled transportation services to scheduled, local trips/appointments are offered with no charge; additional personal transportation is available for a small fee."</t>
  </si>
  <si>
    <t xml:space="preserve">Clean published two-tier. Fee amount not published. The qualifier "local" is doing real work and is undefined.</t>
  </si>
  <si>
    <t xml:space="preserve">Likely, since pricing covers independent living as a whole, but not stated.</t>
  </si>
  <si>
    <t xml:space="preserve">VERIFIED via operator-domain probe. Round one had the wording slightly wrong ("included at no charge"); the sentence above is the real one.</t>
  </si>
  <si>
    <t xml:space="preserve">The cleanest one-sentence statement of the mainstream two-tier model.</t>
  </si>
  <si>
    <t xml:space="preserve">Zarrow Pointe, Tulsa, OK</t>
  </si>
  <si>
    <t xml:space="preserve">Tulsa Jewish; The Villas (patio homes)</t>
  </si>
  <si>
    <t xml:space="preserve">The Villas included-services list, with ordering stable across four independent queries: "Monthly Meal Allowance, Weekly Light Housekeeping, Weekly Flat Linen Service, Weekly Lawn Maintenance, Expanded Basic Cable, PRIVATE CAR AND DRIVER FOR DOCTOR APPOINTMENTS, Scheduled Activities and Cultural Events, Health and Wellness Programs, Personal Fitness Assessments." The Apartments list the parallel item as plain "Transportation to and from Doctor Appointments".</t>
  </si>
  <si>
    <t xml:space="preserve">Included, but narrow: doctor appointments only.</t>
  </si>
  <si>
    <t xml:space="preserve">BETTER THAN THE APARTMENTS. The only verified case anywhere of a villa product receiving an upgraded transportation tier.</t>
  </si>
  <si>
    <t xml:space="preserve">VERIFIED (operator-domain probe)</t>
  </si>
  <si>
    <t xml:space="preserve">Proves a detached product can differentiate UPWARD on transportation. A private car for medical days suits residents who still drive but want help when it matters.</t>
  </si>
  <si>
    <t xml:space="preserve">The 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</si>
  <si>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</si>
  <si>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and many other destinations based on regular resident requests." Destinations include the beach, the Farmer's Market and downtown shops.</t>
  </si>
  <si>
    <t xml:space="preserve">Everything free, including the request-driven trips.</t>
  </si>
  <si>
    <t xml:space="preserve">SAME. "all residents" is unqualified and the community contains both cottage-style homes and apartments.</t>
  </si>
  <si>
    <t xml:space="preserve">VERIFIED — the cleanest evidence in the whole study</t>
  </si>
  <si>
    <t xml:space="preserve">THE COUNTER-EXAMPLE to any assumption that unscheduled trips must be chargeable. Here the request-driven channel is free, which makes the paid tier an operator pricing choice rather than a sector rule.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</si>
  <si>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</si>
  <si>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</si>
  <si>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Additionally, there may be commercial transportation options available for medical or other appointments, such as ride sharing programs, that they can assist in coordinating." Separately, the Danville cottage inclusion list names "accessible bus transportation".</t>
  </si>
  <si>
    <t xml:space="preserve">Community outings included. Appointments not provided to anyone.</t>
  </si>
  <si>
    <t xml:space="preserve">SAME, once corrected. The appointment exclusion is OPERATOR-WIDE and applies to apartment residents equally; the cottage list separately names bus transportation.</t>
  </si>
  <si>
    <t xml:space="preserve">VERIFIED, but REFRAMED. Round one treated this as a cottage limitation. It is not.</t>
  </si>
  <si>
    <t xml:space="preserve">The only explicit SCOPE EXCLUSION found anywhere, and three directory sites flatly contradict it. Also the ONLY community in the entire study to claim an accessible vehicle.</t>
  </si>
  <si>
    <t xml:space="preserve">Cedarhurst of Frankfort, IL</t>
  </si>
  <si>
    <t xml:space="preserve">Cedarhurst Senior Living; 32 independent living cottages</t>
  </si>
  <si>
    <t xml:space="preserve">BOTH HALVES OF THE PARAGRAPH MATTER. First: "Cedarhurst Cottages operate separately from the Assisted Living and Memory Care neighborhoods and do not include the same all-inclusive services and amenities." But it continues, and a parallel sentence appears on cottage announcement pages in four locations with correct locality substitution: "Cottage residents will have access to the activity programs, therapy services, and TRANSPORTATION OPTIONS already available at Cedarhurst of [Frankfort]'s Assisted Living and Memory Care community."</t>
  </si>
  <si>
    <t xml:space="preserve">No Cedarhurst page prices transportation for cottages. The only priced extras named corporately are higher levels of care, salon services, pet accommodations and a one-time community fee.</t>
  </si>
  <si>
    <t xml:space="preserve">NEUTRAL, arguably PARITY. The disclaimer is about the all-inclusive package and the dining model, NOT about transportation, which the same pages affirmatively grant.</t>
  </si>
  <si>
    <t xml:space="preserve">VERIFIED for the disclaimer; LIKELY for the transportation-access sentence</t>
  </si>
  <si>
    <t xml:space="preserve">ROUND ONE READ THIS COMMUNITY AGAINST ITS OWN TEXT and made it the strongest evidence for a lesser cottage tier. It is not that. This correction is the main reason the headline reversed.</t>
  </si>
  <si>
    <t xml:space="preserve">Garbry Ridge, Piqua, OH</t>
  </si>
  <si>
    <t xml:space="preserve">HCF Management; 1,200 sq ft cottages, 2 bed / 2 bath</t>
  </si>
  <si>
    <t xml:space="preserve">The cottage page carries TWO lists. Base inclusions with the cottage: utilities, "Lawn care, landscaping and snow removal", "24 hour emergency call system" — WITH NO TRANSPORTATION OF ANY KIND. A second list of services available includes "routine outings to local and regional events". The independent living APARTMENT list separately contains "scheduled transportation". But the community HOME PAGE states, without any tier qualifier, that it "provides free transportation for doctor visits".</t>
  </si>
  <si>
    <t xml:space="preserve">Included items versus a separately available list. No prices published.</t>
  </si>
  <si>
    <t xml:space="preserve">THE ONE REMAINING CASE where a cottage list omits what an apartment list names. Narrower than round one claimed, and partly undercut by the home page.</t>
  </si>
  <si>
    <t xml:space="preserve">VERIFIED for the cottage list and the home-page sentence; LIKELY for the apartment list</t>
  </si>
  <si>
    <t xml:space="preserve">Round one framed this as cottages getting outings INSTEAD OF transportation. That is wrong: "routine outings" appears on BOTH the cottage and apartment pages, so it is a shared campus amenity. The honest formulation is that the cottage inclusions omit transportation while the apartment inclusions name it.</t>
  </si>
  <si>
    <t xml:space="preserve">Hamilton Trace, Fishers, IN</t>
  </si>
  <si>
    <t xml:space="preserve">CarDon &amp; Associates; The Reserve cottages</t>
  </si>
  <si>
    <t xml:space="preserve">"Unscheduled transportation" is genuine CarDon site language, appearing in a services list alongside "guest meals, personal laundry service, personal concierge service, beauty salon/barber services". It is CarDon corporate boilerplate used at roughly eight communities. Also: "Both apartment and cottage residences at The Reserve include the use of all amenities."</t>
  </si>
  <si>
    <t xml:space="preserve">THE EXTRA-COST LABEL IS NOT VERIFIED. No CarDon page states that unscheduled transportation is chargeable; one rendering puts scheduled and unscheduled transportation in the SAME list; no price appears anywhere, including in CarDon's independent living FAQ.</t>
  </si>
  <si>
    <t xml:space="preserve">SAME. Cottages differ by structure and payment plan only. No cottage-specific transportation carve-out exists.</t>
  </si>
  <si>
    <t xml:space="preserve">MIXED: the menu item is VERIFIED; the extra-cost inference is NOT</t>
  </si>
  <si>
    <t xml:space="preserve">The benchmarking table's "unscheduled transportation is à la carte" is half right. The item is real; its price status is an unverified inference that needs a phone call. The whole scheduled-free / unscheduled-paid thesis leans on this more than the evidence supports.</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</si>
  <si>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</si>
  <si>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</si>
  <si>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Product confirmed: "You can select an elegant, free-standing Villa or a spacious one- or two-bedroom condo-style senior-living apartment."</t>
  </si>
  <si>
    <t xml:space="preserve">Included in an all-inclusive monthly fee.</t>
  </si>
  <si>
    <t xml:space="preserve">SAME. The all-inclusive statement is scoped to Independent Living as a whole, covering villas and apartments alike.</t>
  </si>
  <si>
    <t xml:space="preserve">LIKELY (reproduced across four queries; the long string is not phrase-indexed)</t>
  </si>
  <si>
    <t xml:space="preserve">The clearest bundled model. Its resident handbook has a Transportation section at page 33 that search could not surface, making it the single highest-value document to retrieve.</t>
  </si>
  <si>
    <t xml:space="preserve">Westminster Place, Evanston, IL</t>
  </si>
  <si>
    <t xml:space="preserve">Presbyterian Homes; 104 cottages and townhouses</t>
  </si>
  <si>
    <t xml:space="preserve">Actual operator wording: "scheduled transportation to shops, appointments, and other necessary places", named inside the comprehensive monthly fee. NO paid tier appears anywhere on the operator's site.</t>
  </si>
  <si>
    <t xml:space="preserve">Included in the monthly fee. No two-tier structure documented by the operator.</t>
  </si>
  <si>
    <t xml:space="preserve">Not differentiated, despite 104 cottages on a 40-acre campus.</t>
  </si>
  <si>
    <t xml:space="preserve">ROUND-ONE QUOTE FALSIFIED</t>
  </si>
  <si>
    <t xml:space="preserve">The round-one quote about fee-based transport "beyond the standard route" to "Northwestern Memorial Hospital-Evanston" was directory text. NO SUCH HOSPITAL EXISTS — the Evanston hospital is Endeavor Health Evanston Hospital, while Northwestern Memorial is a separate downtown Chicago institution. A plausible name fused from two real ones is a textbook fabrication signature. This community no longer supports the two-tier finding.</t>
  </si>
  <si>
    <t xml:space="preserve">Friendship Village of Dublin, OH</t>
  </si>
  <si>
    <t xml:space="preserve">Life Care Services; River Point Villas and detached villas</t>
  </si>
  <si>
    <t xml:space="preserve">Actual operator wording: "Using their fleet of licensed and insured vehicles, the transportation team takes residents to and from appointments, to the grocery store, on FVD field trips and to other activities organized by the Community Life department." Separately the site acknowledges "transportation to off-site medical appointments within a defined geographic area", without publishing the area.</t>
  </si>
  <si>
    <t xml:space="preserve">Bundled into the single LifeCare monthly fee. No paid off-schedule tier documented by the operator.</t>
  </si>
  <si>
    <t xml:space="preserve">Not differentiated.</t>
  </si>
  <si>
    <t xml:space="preserve">ROUND-ONE QUOTES FALSIFIED</t>
  </si>
  <si>
    <t xml:space="preserve">Both round-one quotes came from all-directory result sets and read as the generic "Complimentary Transportation / Transportation at Cost" checkbox pair rendered into prose. This community no longer supports the two-tier finding either. Note the operator DOES admit a geographic boundary exists while declining to state it.</t>
  </si>
  <si>
    <t xml:space="preserve">American Senior Communities (5 properties)</t>
  </si>
  <si>
    <t xml:space="preserve">Zionsville, Brownsburg, Coventry, Rosegate, Beech Grove;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</si>
  <si>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</si>
  <si>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</si>
  <si>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attaches to "Garden Home residents" by name at all five.</t>
  </si>
  <si>
    <t xml:space="preserve">VERIFIED (exact-phrase probe)</t>
  </si>
  <si>
    <t xml:space="preserve">ASC transportation is ONE corporate promise replicated five times, not five benchmarks. Treating the five as five data points double-counts. The trip list is also notably narrow and omits medical-first framing.</t>
  </si>
  <si>
    <t xml:space="preserve">Traditions Management (4 properties)</t>
  </si>
  <si>
    <t xml:space="preserve">Brookside, Reagan Park, Beaumont, Hunter Station; Garden Homes</t>
  </si>
  <si>
    <t xml:space="preserve">A two-tier asymmetry in templated corporate copy: garden homes get the bare noun, "...and transportation", while assisted living and memory care get a defined service, "scheduled transportation to medical appointments and outings". Hunter Station names transportation as a line item in the villa inclusion list; Beaumont extends it to independent living by name and mentions "a community bus... to scheduled weekly activities".</t>
  </si>
  <si>
    <t xml:space="preserve">Not published at any of the four.</t>
  </si>
  <si>
    <t xml:space="preserve">MIXED. Explicit at Hunter Station, named for IL at Beaumont, undefined at Brookside and Reagan Park.</t>
  </si>
  <si>
    <t xml:space="preserve">LIKELY (the templating itself was confirmed by probe)</t>
  </si>
  <si>
    <t xml:space="preserve">Traditions describes WHAT transportation does only for its higher-acuity tiers. For villa residents it lists the word and stops, which is the same flattening the villa study inherited. A separate probe of a sibling property produced an apparent 5-mile radius and weekly schedule that the operator's own domain did NOT confirm; that claim has been withdrawn.</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</si>
  <si>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</si>
  <si>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</si>
  <si>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be able to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</si>
  <si>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</si>
  <si>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</si>
  <si>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</si>
  <si>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recording "Transportation: included" in a benchmark materially overstates the benefit.</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</si>
  <si>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</si>
  <si>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</si>
  <si>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</si>
  <si>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</si>
  <si>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</si>
  <si>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t>
  </si>
  <si>
    <t xml:space="preserve">The ONLY community where MEDICAL APPOINTMENTS ARE NEVER NAMED.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</si>
  <si>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</si>
  <si>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</si>
  <si>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</si>
  <si>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</si>
  <si>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and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</si>
  <si>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</si>
  <si>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</si>
  <si>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</si>
  <si>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</si>
  <si>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</si>
  <si>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THE GAP BETWEEN MARKETING AND HANDBOOK IS ITSELF THE FINDING, and this is the best available language anywhere on cancellation and capacity risk.</t>
  </si>
  <si>
    <t xml:space="preserve">On the 10-mile radius in the source email: dedicated and domain-restricted searches across Discovery Senior Living's brands found NO published mileage limit on any Discovery transportation page. What Discovery standardises is a programme name, "Connections Transportation", and a scheduled-versus-off-schedule cost split, not a distance. The 10-mile figure is most likely real as local practice at that one community and consistent with the industry norm, but it should not be attributed to Discovery as a brand standard or extrapolated. A separate 5-mile radius found at a Traditions sibling property was also absent from that operator's own domain and has been withdrawn. The honest position is that mileage radii are used in operating practice and told to shoppers verbally, but are not published.</t>
  </si>
  <si>
    <t xml:space="preserve">E. Do cottage residents get the same transportation? — this conclusion REVERSED on verification</t>
  </si>
  <si>
    <t xml:space="preserve">ROUND ONE CONCLUDED: cottage residents do not reliably get the same transportation, and where it differs the cottage tier is lesser. THAT IS WITHDRAWN. On verification, across seven detached-cottage communities there were ZERO verified cases of a cottage product receiving a lesser transportation tier, ONE verified case of it receiving a BETTER tier, and four cases of parity. The corrected finding: detached-cottage and villa residents generally receive the SAME transportation as apartment residents at the same community, and occasionally better. What is genuinely unreliable is DISCLOSURE, not the benefit. The real service limits that exist are set at operator level and apply to apartments equally.</t>
  </si>
  <si>
    <t xml:space="preserve">Verdict</t>
  </si>
  <si>
    <t xml:space="preserve">Evidence</t>
  </si>
  <si>
    <t xml:space="preserve">Zarrow Pointe, Tulsa</t>
  </si>
  <si>
    <t xml:space="preserve">VILLA TIER IS BETTER</t>
  </si>
  <si>
    <t xml:space="preserve">Villa inclusions name "Private Car and Driver for Doctor Appointments"; apartments get plain "Transportation to and from Doctor Appointments".</t>
  </si>
  <si>
    <t xml:space="preserve">VERIFIED</t>
  </si>
  <si>
    <t xml:space="preserve">The Village at Bay Ridge, Traverse City</t>
  </si>
  <si>
    <t xml:space="preserve">PARITY, and generous</t>
  </si>
  <si>
    <t xml:space="preserve">Community bus "to all residents at no additional cost", covering both scheduled trips and destinations "based on regular resident requests".</t>
  </si>
  <si>
    <t xml:space="preserve">PARITY</t>
  </si>
  <si>
    <t xml:space="preserve">The appointment exclusion is operator-wide and applies to apartments too. The Danville cottage inclusion list separately names "accessible bus transportation".</t>
  </si>
  <si>
    <t xml:space="preserve">VERIFIED, reframed from round one</t>
  </si>
  <si>
    <t xml:space="preserve">Cedarhurst of Frankfort</t>
  </si>
  <si>
    <t xml:space="preserve">NEUTRAL, arguably PARITY</t>
  </si>
  <si>
    <t xml:space="preserve">The "operate separately" disclaimer covers the all-inclusive package and dining. The same pages state cottage residents "will have access to the activity programs, therapy services, and transportation options already available at" the main community.</t>
  </si>
  <si>
    <t xml:space="preserve">Disclaimer VERIFIED; access sentence LIKELY</t>
  </si>
  <si>
    <t xml:space="preserve">Smith Crossing, Orland Park</t>
  </si>
  <si>
    <t xml:space="preserve">One all-inclusive independent living fee naming scheduled transportation, spanning free-standing villas and apartments alike.</t>
  </si>
  <si>
    <t xml:space="preserve">Hamilton Trace, Fishers</t>
  </si>
  <si>
    <t xml:space="preserve">"Both apartment and cottage residences at The Reserve include the use of all amenities." No cottage-specific carve-out exists.</t>
  </si>
  <si>
    <t xml:space="preserve">Garbry Ridge, Piqua</t>
  </si>
  <si>
    <t xml:space="preserve">THE ONE POSSIBLE EXCEPTION</t>
  </si>
  <si>
    <t xml:space="preserve">The cottage inclusions list omits transportation entirely while the apartment list names "scheduled transportation". But "routine outings" appears on BOTH pages, and the home page advertises free doctor-visit transportation with no tier qualifier.</t>
  </si>
  <si>
    <t xml:space="preserve">Cottage list VERIFIED; the "lesser tier" reading is weakened</t>
  </si>
  <si>
    <t xml:space="preserve">Ohio Living Breckenridge</t>
  </si>
  <si>
    <t xml:space="preserve">UNKNOWN — do not assume either way</t>
  </si>
  <si>
    <t xml:space="preserve">Four handbooks exist, all for apartment buildings. The 73 ranch homes have none, so their terms are simply not published.</t>
  </si>
  <si>
    <t xml:space="preserve">Absence VERIFIED</t>
  </si>
  <si>
    <t xml:space="preserve">Touchmark, Silver Elm, Highgrove, TLC properties</t>
  </si>
  <si>
    <t xml:space="preserve">NOT ESTABLISHED</t>
  </si>
  <si>
    <t xml:space="preserve">Nothing distinguishes the detached product from the apartment product in either direction.</t>
  </si>
  <si>
    <t xml:space="preserve">NOT FOUND</t>
  </si>
  <si>
    <t xml:space="preserve">• What actually varies is DISCLOSURE. Operators very rarely state transportation terms separately for cottages, so a benchmarking table has to record "not stated" far more often than "different". Round one mistook that silence for a lesser benefit.</t>
  </si>
  <si>
    <t xml:space="preserve">• Where a real limit exists it is SCOPE-BASED AND COMMUNITY-WIDE, not a cottage carve-out. One operator excludes appointment transport for everybody. Another carves cottages out of its all-inclusive package while explicitly keeping transportation in.</t>
  </si>
  <si>
    <t xml:space="preserve">• The one direction that IS evidenced is upward. A villa product can differentiate by offering a private car and driver for medical days, which suits a resident who still drives but wants help when it matters.</t>
  </si>
  <si>
    <t xml:space="preserve">• Detached-home residents mostly still drive. Garages are a headline feature of nearly every villa product in the study, and public guidance notes residents commonly keep a car and mix driving with the shuttle. That argues for a light individual-ride benefit at the Good tier, not a heavy one.</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</si>
  <si>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</si>
  <si>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The unanswered practical question, which no operator addresses in writing: does the shuttle come to the villa door, or does the resident walk to the main building? On campuses of 37 to 72 acres that difference is the whole service. Only a sales counsellor can answer it.</t>
  </si>
  <si>
    <t xml:space="preserve">F. Research reliability — read before quoting anything on this tab</t>
  </si>
  <si>
    <t xml:space="preserve">Issue</t>
  </si>
  <si>
    <t xml:space="preserve">What happened</t>
  </si>
  <si>
    <t xml:space="preserve">What to do</t>
  </si>
  <si>
    <t xml:space="preserve">Community websites could not be opened</t>
  </si>
  <si>
    <t xml:space="preserve">This environment's network policy blocks direct page access to every external site, including through a headless browser, so all findings come from web-search result summaries written by a summarising model rather than from reading pages.</t>
  </si>
  <si>
    <t xml:space="preserve">Treat every quotation as a lead. Open one confirming page before any of this goes into an external deliverable.</t>
  </si>
  <si>
    <t xml:space="preserve">THE DISCRIMINATOR: operator-domain-restricted search</t>
  </si>
  <si>
    <t xml:space="preserve">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t>
  </si>
  <si>
    <t xml:space="preserve">Use both. A phrase that fails the bare probe AND fails domain restriction, while appearing on directories, is fabricated.</t>
  </si>
  <si>
    <t xml:space="preserve">Round one contained four fabricated findings, all of them plausible</t>
  </si>
  <si>
    <t xml:space="preserve">A detailed capacity description at one community returned zero matches. A "5 mile radius" and a weekly schedule at another were absent from the operator's domain. A named destination hospital turned out NOT TO EXIST, its name fused from two real Chicago-area institutions. A staffing count of "three full-time bus drivers" returned nothing. All four were the kind of specific operational detail a benchmarking study most wants.</t>
  </si>
  <si>
    <t xml:space="preserve">Distrust specificity that appears only in search summaries. The more useful the detail sounds, the harder it needs to be probed.</t>
  </si>
  <si>
    <t xml:space="preserve">The fabrications are systematically BIASED toward the paid tier</t>
  </si>
  <si>
    <t xml:space="preserve">Both demoted two-tier quotes were on the chargeable side. Directories emit fixed "Complimentary Transportation" and "Transportation at Cost" checkboxes, which summarisers then render into confident prose about free and paid tiers that the operator never wrote.</t>
  </si>
  <si>
    <t xml:space="preserve">Presume any two-tier claim sourced from a directory is boilerplate until re-probed on the operator's own domain. The reliable directory signal is the boring checkbox, never the prose.</t>
  </si>
  <si>
    <t xml:space="preserve">Directories contradicted operators three times, and the operator was right every time</t>
  </si>
  <si>
    <t xml:space="preserve">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</si>
  <si>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</si>
  <si>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</si>
  <si>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</si>
  <si>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</si>
  <si>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the strongest results here</t>
  </si>
  <si>
    <t xml:space="preserve">A summariser can fail to surface text that exists, but is unlikely to invent a page-level absence across many differently worded queries. The repeated "not published" results across roughly 50 communities are the study's most reliable conclusions, and verification made them stronger by removing the apparent exceptions.</t>
  </si>
  <si>
    <t xml:space="preserve">Rely on the pattern that nothing is published. Treat individual quotes as provisional.</t>
  </si>
  <si>
    <t xml:space="preserve">G. How to close the gaps — the detail exists, just not on marketing pages</t>
  </si>
  <si>
    <t xml:space="preserve">• Chase RESIDENT HANDBOOKS, disclosure statements and residence agreements, not amenity pages. Every genuinely concrete finding in this study came from a handbook or an operator FAQ. One operator posts a handbook for every community, which would yield an operator-level policy dataset.</t>
  </si>
  <si>
    <t xml:space="preserve">• Specific documents identified but not readable here: the Smith Crossing independent living resident handbook, whose Transportation section sits at page 33; a Westminster Place "Guide to Costs and Benefits" PDF, the likeliest place an actual paid-tier rate would appear; Zarrow Pointe's villa and apartment brochures, whose comparison would settle the villa-versus-apartment question; and Ohio Living Breckenridge's weekly newsletter PDFs, which carry actual trip listings with departure times.</t>
  </si>
  <si>
    <t xml:space="preserve">• Ask Ohio Living Breckenridge for the transportation booklet "available at the front desk", named in its handbooks as the document holding the rates, and for a ranch-home equivalent. Its transportation department extension and sign-up line are published.</t>
  </si>
  <si>
    <t xml:space="preserve">• Mystery-shop for prices. Not one community in the entire study published a transportation price of any kind. The paid tier is consistently disclosed as existing and its price consistently withheld, so rates must come from sales offices.</t>
  </si>
  <si>
    <t xml:space="preserve">• Settle the Hamilton Trace question by phone. "Unscheduled transportation" is verified as a real menu item, but whether it carries a charge is an unverified inference, and the scheduled-free / unscheduled-paid thesis leans on it.</t>
  </si>
  <si>
    <t xml:space="preserve">• Put the operational questions to sales counsellors: radius, days, hours, booking lead time, fees, wheelchair accessibility, what happens when two residents want the vehicle at once, and whether the shuttle comes to the villa door. Based on this research, none of these is answerable from published material.</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</si>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</sst>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4">
    <numFmt numFmtId="164" formatCode="General"/>
    <numFmt numFmtId="165" formatCode="\$#,##0"/>
    <numFmt numFmtId="166" formatCode="General"/>
    <numFmt numFmtId="167" formatCode="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000000"/>
      <name val="Arial"/>
      <family val="0"/>
      <charset val="1"/>
    </font>
    <font>
      <b val="true"/>
      <sz val="10"/>
      <color rgb="FFFFFFFF"/>
      <name val="Arial"/>
      <family val="0"/>
      <charset val="1"/>
    </font>
    <font>
      <b val="true"/>
      <sz val="11"/>
      <color rgb="FF1F3864"/>
      <name val="Arial"/>
      <family val="0"/>
      <charset val="1"/>
    </font>
    <font>
      <sz val="10"/>
      <color rgb="FF000000"/>
      <name val="Arial"/>
      <family val="0"/>
      <charset val="1"/>
    </font>
    <font>
      <b val="true"/>
      <sz val="12"/>
      <color rgb="FF1F3864"/>
      <name val="Arial"/>
      <family val="0"/>
      <charset val="1"/>
    </font>
    <font>
      <b val="true"/>
      <sz val="11"/>
      <color rgb="FF000000"/>
      <name val="Arial"/>
      <family val="0"/>
      <charset val="1"/>
    </font>
    <font>
      <b val="true"/>
      <sz val="10"/>
      <color rgb="FF1F3864"/>
      <name val="Arial"/>
      <family val="0"/>
      <charset val="1"/>
    </font>
    <font>
      <b val="true"/>
      <sz val="10"/>
      <color rgb="FF000000"/>
      <name val="Arial"/>
      <family val="0"/>
      <charset val="1"/>
    </font>
    <font>
      <sz val="9"/>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1"/>
      <color rgb="FF375623"/>
      <name val="Arial"/>
      <family val="0"/>
      <charset val="1"/>
    </font>
    <font>
      <b val="true"/>
      <sz val="9"/>
      <color rgb="FF000000"/>
      <name val="Arial"/>
      <family val="0"/>
      <charset val="1"/>
    </font>
  </fonts>
  <fills count="26">
    <fill>
      <patternFill patternType="none"/>
    </fill>
    <fill>
      <patternFill patternType="gray125"/>
    </fill>
    <fill>
      <patternFill patternType="solid">
        <fgColor rgb="FF1F3864"/>
        <bgColor rgb="FF333399"/>
      </patternFill>
    </fill>
    <fill>
      <patternFill patternType="solid">
        <fgColor rgb="FFD9E1F2"/>
        <bgColor rgb="FFDDEBF7"/>
      </patternFill>
    </fill>
    <fill>
      <patternFill patternType="solid">
        <fgColor rgb="FFF4F6F8"/>
        <bgColor rgb="FFF2F5F9"/>
      </patternFill>
    </fill>
    <fill>
      <patternFill patternType="solid">
        <fgColor rgb="FFE2EFDA"/>
        <bgColor rgb="FFD9EAD3"/>
      </patternFill>
    </fill>
    <fill>
      <patternFill patternType="solid">
        <fgColor rgb="FFDDEBF7"/>
        <bgColor rgb="FFD9E1F2"/>
      </patternFill>
    </fill>
    <fill>
      <patternFill patternType="solid">
        <fgColor rgb="FFFCE4D6"/>
        <bgColor rgb="FFFDEFE8"/>
      </patternFill>
    </fill>
    <fill>
      <patternFill patternType="solid">
        <fgColor rgb="FFFFF2CC"/>
        <bgColor rgb="FFFDF6E3"/>
      </patternFill>
    </fill>
    <fill>
      <patternFill patternType="solid">
        <fgColor rgb="FFF8CBAD"/>
        <bgColor rgb="FFFCE4D6"/>
      </patternFill>
    </fill>
    <fill>
      <patternFill patternType="solid">
        <fgColor rgb="FFEDEDED"/>
        <bgColor rgb="FFE7E6E6"/>
      </patternFill>
    </fill>
    <fill>
      <patternFill patternType="solid">
        <fgColor rgb="FFFFFFFF"/>
        <bgColor rgb="FFF4F6F8"/>
      </patternFill>
    </fill>
    <fill>
      <patternFill patternType="solid">
        <fgColor rgb="FFC6EFCE"/>
        <bgColor rgb="FFD9EAD3"/>
      </patternFill>
    </fill>
    <fill>
      <patternFill patternType="solid">
        <fgColor rgb="FFF2F5F9"/>
        <bgColor rgb="FFF4F6F8"/>
      </patternFill>
    </fill>
    <fill>
      <patternFill patternType="solid">
        <fgColor rgb="FFFFEB9C"/>
        <bgColor rgb="FFFFF2CC"/>
      </patternFill>
    </fill>
    <fill>
      <patternFill patternType="solid">
        <fgColor rgb="FFFDF6E3"/>
        <bgColor rgb="FFFDEFE8"/>
      </patternFill>
    </fill>
    <fill>
      <patternFill patternType="solid">
        <fgColor rgb="FFEEF6EA"/>
        <bgColor rgb="FFF2F5F9"/>
      </patternFill>
    </fill>
    <fill>
      <patternFill patternType="solid">
        <fgColor rgb="FFFDEFE8"/>
        <bgColor rgb="FFFDF6E3"/>
      </patternFill>
    </fill>
    <fill>
      <patternFill patternType="solid">
        <fgColor rgb="FFD9EAD3"/>
        <bgColor rgb="FFE2EFDA"/>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808080"/>
        <bgColor rgb="FF666699"/>
      </patternFill>
    </fill>
    <fill>
      <patternFill patternType="solid">
        <fgColor rgb="FFD0CECE"/>
        <bgColor rgb="FFBFBFBF"/>
      </patternFill>
    </fill>
    <fill>
      <patternFill patternType="solid">
        <fgColor rgb="FFE7E6E6"/>
        <bgColor rgb="FFEDEDED"/>
      </patternFill>
    </fill>
    <fill>
      <patternFill patternType="solid">
        <fgColor rgb="FFBF8F00"/>
        <bgColor rgb="FFC55A11"/>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general" vertical="top" textRotation="0" wrapText="true" indent="0" shrinkToFit="false"/>
      <protection locked="true" hidden="false"/>
    </xf>
    <xf numFmtId="164" fontId="13" fillId="1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11" borderId="1" xfId="0" applyFont="true" applyBorder="true" applyAlignment="true" applyProtection="false">
      <alignment horizontal="general" vertical="top" textRotation="0" wrapText="true" indent="0" shrinkToFit="false"/>
      <protection locked="true" hidden="false"/>
    </xf>
    <xf numFmtId="165" fontId="8" fillId="11"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11" fillId="13" borderId="1" xfId="0" applyFont="true" applyBorder="true" applyAlignment="true" applyProtection="false">
      <alignment horizontal="general" vertical="top" textRotation="0" wrapText="true" indent="0" shrinkToFit="false"/>
      <protection locked="true" hidden="false"/>
    </xf>
    <xf numFmtId="164" fontId="12" fillId="13"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11" fillId="15" borderId="1" xfId="0" applyFont="true" applyBorder="true" applyAlignment="true" applyProtection="false">
      <alignment horizontal="general" vertical="top" textRotation="0" wrapText="true" indent="0" shrinkToFit="false"/>
      <protection locked="true" hidden="false"/>
    </xf>
    <xf numFmtId="164" fontId="12" fillId="15" borderId="1" xfId="0" applyFont="true" applyBorder="true" applyAlignment="true" applyProtection="false">
      <alignment horizontal="general" vertical="top" textRotation="0" wrapText="true" indent="0" shrinkToFit="false"/>
      <protection locked="true" hidden="false"/>
    </xf>
    <xf numFmtId="165" fontId="8" fillId="1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4" fontId="8" fillId="16" borderId="1" xfId="0" applyFont="true" applyBorder="true" applyAlignment="true" applyProtection="false">
      <alignment horizontal="general" vertical="top" textRotation="0" wrapText="true" indent="0" shrinkToFit="false"/>
      <protection locked="true" hidden="false"/>
    </xf>
    <xf numFmtId="164" fontId="11" fillId="16" borderId="1" xfId="0" applyFont="true" applyBorder="true" applyAlignment="true" applyProtection="false">
      <alignment horizontal="general" vertical="top" textRotation="0" wrapText="true" indent="0" shrinkToFit="false"/>
      <protection locked="true" hidden="false"/>
    </xf>
    <xf numFmtId="164" fontId="12" fillId="16" borderId="1" xfId="0" applyFont="true" applyBorder="true" applyAlignment="true" applyProtection="false">
      <alignment horizontal="general" vertical="top" textRotation="0" wrapText="true" indent="0" shrinkToFit="false"/>
      <protection locked="true" hidden="false"/>
    </xf>
    <xf numFmtId="165" fontId="8" fillId="16"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5" fontId="8" fillId="7" borderId="1" xfId="0" applyFont="true" applyBorder="true" applyAlignment="true" applyProtection="false">
      <alignment horizontal="general" vertical="top" textRotation="0" wrapText="true" indent="0" shrinkToFit="false"/>
      <protection locked="true" hidden="false"/>
    </xf>
    <xf numFmtId="164" fontId="8" fillId="17" borderId="1" xfId="0" applyFont="true" applyBorder="true" applyAlignment="true" applyProtection="false">
      <alignment horizontal="general" vertical="top" textRotation="0" wrapText="true" indent="0" shrinkToFit="false"/>
      <protection locked="true" hidden="false"/>
    </xf>
    <xf numFmtId="164" fontId="11" fillId="17" borderId="1" xfId="0" applyFont="true" applyBorder="true" applyAlignment="true" applyProtection="false">
      <alignment horizontal="general" vertical="top" textRotation="0" wrapText="true" indent="0" shrinkToFit="false"/>
      <protection locked="true" hidden="false"/>
    </xf>
    <xf numFmtId="164" fontId="12" fillId="17" borderId="1" xfId="0" applyFont="true" applyBorder="true" applyAlignment="true" applyProtection="false">
      <alignment horizontal="general" vertical="top" textRotation="0" wrapText="true" indent="0" shrinkToFit="false"/>
      <protection locked="true" hidden="false"/>
    </xf>
    <xf numFmtId="165" fontId="8" fillId="17"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3" fillId="18"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11" borderId="1" xfId="0" applyFont="true" applyBorder="true" applyAlignment="true" applyProtection="false">
      <alignment horizontal="general" vertical="top" textRotation="0" wrapText="true" indent="0" shrinkToFit="false"/>
      <protection locked="true" hidden="false"/>
    </xf>
    <xf numFmtId="166" fontId="8" fillId="11" borderId="1" xfId="0" applyFont="true" applyBorder="true" applyAlignment="true" applyProtection="false">
      <alignment horizontal="center" vertical="center" textRotation="0" wrapText="true" indent="0" shrinkToFit="false"/>
      <protection locked="true" hidden="false"/>
    </xf>
    <xf numFmtId="167" fontId="8" fillId="11"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7" fillId="11" borderId="2" xfId="0" applyFont="true" applyBorder="true" applyAlignment="true" applyProtection="false">
      <alignment horizontal="center" vertical="center"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4" fontId="8" fillId="5" borderId="2" xfId="0" applyFont="true" applyBorder="true" applyAlignment="true" applyProtection="false">
      <alignment horizontal="general" vertical="top" textRotation="0" wrapText="true" indent="0" shrinkToFit="false"/>
      <protection locked="true" hidden="false"/>
    </xf>
    <xf numFmtId="164" fontId="13" fillId="11" borderId="2"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6" fillId="19" borderId="1" xfId="0" applyFont="true" applyBorder="true" applyAlignment="true" applyProtection="false">
      <alignment horizontal="center" vertical="center" textRotation="0" wrapText="true" indent="0" shrinkToFit="false"/>
      <protection locked="true" hidden="false"/>
    </xf>
    <xf numFmtId="164" fontId="6"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center" vertical="center" textRotation="0" wrapText="tru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4" fontId="18" fillId="10"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6" fillId="22" borderId="1" xfId="0" applyFont="true" applyBorder="true" applyAlignment="true" applyProtection="false">
      <alignment horizontal="center" vertical="center" textRotation="0" wrapText="true" indent="0" shrinkToFit="false"/>
      <protection locked="true" hidden="false"/>
    </xf>
    <xf numFmtId="164" fontId="13" fillId="23" borderId="1" xfId="0" applyFont="true" applyBorder="true" applyAlignment="true" applyProtection="false">
      <alignment horizontal="general" vertical="top" textRotation="0" wrapText="true" indent="0" shrinkToFit="false"/>
      <protection locked="true" hidden="false"/>
    </xf>
    <xf numFmtId="164" fontId="18" fillId="12" borderId="1" xfId="0" applyFont="true" applyBorder="true" applyAlignment="true" applyProtection="false">
      <alignment horizontal="center" vertical="center" textRotation="0" wrapText="true" indent="0" shrinkToFit="false"/>
      <protection locked="true" hidden="false"/>
    </xf>
    <xf numFmtId="164" fontId="18" fillId="14" borderId="1" xfId="0" applyFont="true" applyBorder="true" applyAlignment="true" applyProtection="false">
      <alignment horizontal="center" vertical="center" textRotation="0" wrapText="tru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12"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14"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8" fillId="11" borderId="1" xfId="0" applyFont="true" applyBorder="tru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general" vertical="top" textRotation="0" wrapText="true" indent="0" shrinkToFit="false"/>
      <protection locked="true" hidden="false"/>
    </xf>
    <xf numFmtId="164" fontId="11" fillId="11" borderId="2" xfId="0" applyFont="true" applyBorder="true" applyAlignment="true" applyProtection="false">
      <alignment horizontal="center" vertical="center" textRotation="0" wrapText="true" indent="0" shrinkToFit="false"/>
      <protection locked="true" hidden="false"/>
    </xf>
    <xf numFmtId="164" fontId="12" fillId="11" borderId="2" xfId="0" applyFont="true" applyBorder="true" applyAlignment="true" applyProtection="false">
      <alignment horizontal="general" vertical="top" textRotation="0" wrapText="true" indent="0" shrinkToFit="false"/>
      <protection locked="true" hidden="false"/>
    </xf>
    <xf numFmtId="164" fontId="8" fillId="12" borderId="2" xfId="0" applyFont="true" applyBorder="true" applyAlignment="true" applyProtection="false">
      <alignment horizontal="general" vertical="top" textRotation="0" wrapText="true" indent="0" shrinkToFit="false"/>
      <protection locked="true" hidden="false"/>
    </xf>
    <xf numFmtId="164" fontId="8" fillId="24"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center"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8" fillId="1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6" fillId="25"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general" vertical="top" textRotation="0" wrapText="true" indent="0" shrinkToFit="false"/>
      <protection locked="true" hidden="false"/>
    </xf>
    <xf numFmtId="164" fontId="13" fillId="12" borderId="2" xfId="0" applyFont="true" applyBorder="true" applyAlignment="true" applyProtection="false">
      <alignment horizontal="general" vertical="top" textRotation="0" wrapText="true" indent="0" shrinkToFit="false"/>
      <protection locked="true" hidden="false"/>
    </xf>
    <xf numFmtId="164" fontId="13" fillId="14" borderId="2" xfId="0" applyFont="true" applyBorder="true" applyAlignment="true" applyProtection="false">
      <alignment horizontal="general" vertical="top" textRotation="0" wrapText="true" indent="0" shrinkToFit="false"/>
      <protection locked="true" hidden="false"/>
    </xf>
    <xf numFmtId="164" fontId="13" fillId="24" borderId="2" xfId="0" applyFont="true" applyBorder="true" applyAlignment="true" applyProtection="false">
      <alignment horizontal="general" vertical="top" textRotation="0" wrapText="tru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6" fillId="20"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general" vertical="top" textRotation="0" wrapText="true" indent="0" shrinkToFit="false"/>
      <protection locked="true" hidden="false"/>
    </xf>
    <xf numFmtId="164" fontId="13" fillId="24" borderId="1" xfId="0" applyFont="true" applyBorder="true" applyAlignment="true" applyProtection="false">
      <alignment horizontal="general" vertical="top" textRotation="0" wrapText="true" indent="0" shrinkToFit="false"/>
      <protection locked="true" hidden="false"/>
    </xf>
    <xf numFmtId="164" fontId="6" fillId="21"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ill>
        <patternFill patternType="solid">
          <fgColor rgb="FF1F3864"/>
          <bgColor rgb="FF000000"/>
        </patternFill>
      </fill>
    </dxf>
    <dxf>
      <fill>
        <patternFill patternType="solid">
          <fgColor rgb="FFE2EFDA"/>
          <bgColor rgb="FF000000"/>
        </patternFill>
      </fill>
    </dxf>
    <dxf>
      <fill>
        <patternFill patternType="solid">
          <fgColor rgb="FFEEF6EA"/>
          <bgColor rgb="FF000000"/>
        </patternFill>
      </fill>
    </dxf>
    <dxf>
      <fill>
        <patternFill patternType="solid">
          <fgColor rgb="FFF2F5F9"/>
          <bgColor rgb="FF000000"/>
        </patternFill>
      </fill>
    </dxf>
    <dxf>
      <fill>
        <patternFill patternType="solid">
          <fgColor rgb="FFFCE4D6"/>
          <bgColor rgb="FF000000"/>
        </patternFill>
      </fill>
    </dxf>
    <dxf>
      <fill>
        <patternFill patternType="solid">
          <fgColor rgb="FFFDEFE8"/>
          <bgColor rgb="FF000000"/>
        </patternFill>
      </fill>
    </dxf>
    <dxf>
      <fill>
        <patternFill patternType="solid">
          <fgColor rgb="FFFDF6E3"/>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EAD3"/>
          <bgColor rgb="FF000000"/>
        </patternFill>
      </fill>
    </dxf>
    <dxf>
      <fill>
        <patternFill patternType="solid">
          <fgColor rgb="FFEDEDED"/>
          <bgColor rgb="FF000000"/>
        </patternFill>
      </fill>
    </dxf>
    <dxf>
      <fill>
        <patternFill patternType="solid">
          <fgColor rgb="FFF4F6F8"/>
          <bgColor rgb="FF000000"/>
        </patternFill>
      </fill>
    </dxf>
    <dxf>
      <fill>
        <patternFill patternType="solid">
          <bgColor rgb="FF000000"/>
        </patternFill>
      </fill>
    </dxf>
    <dxf>
      <fill>
        <patternFill patternType="solid">
          <fgColor rgb="FF2E75B6"/>
          <bgColor rgb="FF000000"/>
        </patternFill>
      </fill>
    </dxf>
    <dxf>
      <fill>
        <patternFill patternType="solid">
          <fgColor rgb="FF548235"/>
          <bgColor rgb="FF000000"/>
        </patternFill>
      </fill>
    </dxf>
    <dxf>
      <fill>
        <patternFill patternType="solid">
          <fgColor rgb="FFC55A11"/>
          <bgColor rgb="FF000000"/>
        </patternFill>
      </fill>
    </dxf>
    <dxf>
      <fill>
        <patternFill patternType="solid">
          <fgColor rgb="FFDDEBF7"/>
          <bgColor rgb="FF000000"/>
        </patternFill>
      </fill>
    </dxf>
    <dxf>
      <fill>
        <patternFill patternType="solid">
          <fgColor rgb="FF808080"/>
          <bgColor rgb="FF000000"/>
        </patternFill>
      </fill>
    </dxf>
    <dxf>
      <fill>
        <patternFill patternType="solid">
          <fgColor rgb="FFD0CECE"/>
          <bgColor rgb="FF000000"/>
        </patternFill>
      </fill>
    </dxf>
    <dxf>
      <fill>
        <patternFill patternType="solid">
          <fgColor rgb="FF375623"/>
          <bgColor rgb="FF000000"/>
        </patternFill>
      </fill>
    </dxf>
    <dxf>
      <fill>
        <patternFill patternType="solid">
          <fgColor rgb="FFE7E6E6"/>
          <bgColor rgb="FF000000"/>
        </patternFill>
      </fill>
    </dxf>
    <dxf>
      <fill>
        <patternFill patternType="solid">
          <fgColor rgb="FFBF8F00"/>
          <bgColor rgb="FF000000"/>
        </patternFill>
      </fill>
    </dxf>
  </dxfs>
  <colors>
    <indexedColors>
      <rgbColor rgb="FF000000"/>
      <rgbColor rgb="FFFFFFFF"/>
      <rgbColor rgb="FFFF0000"/>
      <rgbColor rgb="FF00FF00"/>
      <rgbColor rgb="FF0000FF"/>
      <rgbColor rgb="FFE2EFDA"/>
      <rgbColor rgb="FFFF00FF"/>
      <rgbColor rgb="FF00FFFF"/>
      <rgbColor rgb="FF800000"/>
      <rgbColor rgb="FF008000"/>
      <rgbColor rgb="FF000080"/>
      <rgbColor rgb="FF548235"/>
      <rgbColor rgb="FF800080"/>
      <rgbColor rgb="FF008080"/>
      <rgbColor rgb="FFBFBFBF"/>
      <rgbColor rgb="FF808080"/>
      <rgbColor rgb="FFD9EAD3"/>
      <rgbColor rgb="FF993366"/>
      <rgbColor rgb="FFFFF2CC"/>
      <rgbColor rgb="FFDDEBF7"/>
      <rgbColor rgb="FF660066"/>
      <rgbColor rgb="FFF2F5F9"/>
      <rgbColor rgb="FF0066CC"/>
      <rgbColor rgb="FFD0CECE"/>
      <rgbColor rgb="FF000080"/>
      <rgbColor rgb="FFFF00FF"/>
      <rgbColor rgb="FFFDF6E3"/>
      <rgbColor rgb="FF00FFFF"/>
      <rgbColor rgb="FF800080"/>
      <rgbColor rgb="FF800000"/>
      <rgbColor rgb="FF008080"/>
      <rgbColor rgb="FF0000FF"/>
      <rgbColor rgb="FF00CCFF"/>
      <rgbColor rgb="FFEEF6EA"/>
      <rgbColor rgb="FFC6EFCE"/>
      <rgbColor rgb="FFFFEB9C"/>
      <rgbColor rgb="FFD9E1F2"/>
      <rgbColor rgb="FFFCE4D6"/>
      <rgbColor rgb="FFE7E6E6"/>
      <rgbColor rgb="FFF8CBAD"/>
      <rgbColor rgb="FF2E75B6"/>
      <rgbColor rgb="FF33CCCC"/>
      <rgbColor rgb="FFF4F6F8"/>
      <rgbColor rgb="FFFDEFE8"/>
      <rgbColor rgb="FFBF8F00"/>
      <rgbColor rgb="FFC55A11"/>
      <rgbColor rgb="FF666699"/>
      <rgbColor rgb="FFEDEDED"/>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64"/>
    <col collapsed="false" customWidth="true" hidden="false" outlineLevel="0" max="4" min="4" style="0" width="40"/>
  </cols>
  <sheetData>
    <row r="1" customFormat="false" ht="19.7"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c r="B4" s="3" t="s">
        <v>3</v>
      </c>
      <c r="C4" s="3" t="s">
        <v>4</v>
      </c>
      <c r="D4" s="3" t="s">
        <v>5</v>
      </c>
    </row>
    <row r="5" customFormat="false" ht="96" hidden="false" customHeight="true" outlineLevel="0" collapsed="false">
      <c r="A5" s="4" t="s">
        <v>6</v>
      </c>
      <c r="B5" s="5" t="s">
        <v>7</v>
      </c>
      <c r="C5" s="5" t="s">
        <v>8</v>
      </c>
      <c r="D5" s="5" t="s">
        <v>9</v>
      </c>
    </row>
    <row r="6" customFormat="false" ht="96" hidden="false" customHeight="true" outlineLevel="0" collapsed="false">
      <c r="A6" s="4" t="s">
        <v>10</v>
      </c>
      <c r="B6" s="6" t="s">
        <v>11</v>
      </c>
      <c r="C6" s="6" t="s">
        <v>12</v>
      </c>
      <c r="D6" s="6" t="s">
        <v>13</v>
      </c>
    </row>
    <row r="7" customFormat="false" ht="96" hidden="false" customHeight="true" outlineLevel="0" collapsed="false">
      <c r="A7" s="4" t="s">
        <v>14</v>
      </c>
      <c r="B7" s="5" t="s">
        <v>15</v>
      </c>
      <c r="C7" s="5" t="s">
        <v>16</v>
      </c>
      <c r="D7" s="5" t="s">
        <v>17</v>
      </c>
    </row>
    <row r="8" customFormat="false" ht="96" hidden="false" customHeight="true" outlineLevel="0" collapsed="false">
      <c r="A8" s="4" t="s">
        <v>18</v>
      </c>
      <c r="B8" s="6" t="s">
        <v>19</v>
      </c>
      <c r="C8" s="6" t="s">
        <v>20</v>
      </c>
      <c r="D8" s="6" t="s">
        <v>21</v>
      </c>
    </row>
    <row r="9" customFormat="false" ht="96" hidden="false" customHeight="true" outlineLevel="0" collapsed="false">
      <c r="A9" s="4" t="s">
        <v>22</v>
      </c>
      <c r="B9" s="5" t="s">
        <v>23</v>
      </c>
      <c r="C9" s="5" t="s">
        <v>24</v>
      </c>
      <c r="D9" s="5" t="s">
        <v>25</v>
      </c>
    </row>
    <row r="10" customFormat="false" ht="96" hidden="false" customHeight="true" outlineLevel="0" collapsed="false">
      <c r="A10" s="4" t="s">
        <v>26</v>
      </c>
      <c r="B10" s="6" t="s">
        <v>27</v>
      </c>
      <c r="C10" s="6" t="s">
        <v>28</v>
      </c>
      <c r="D10" s="6" t="s">
        <v>29</v>
      </c>
    </row>
    <row r="11" customFormat="false" ht="96" hidden="false" customHeight="true" outlineLevel="0" collapsed="false">
      <c r="A11" s="4" t="s">
        <v>30</v>
      </c>
      <c r="B11" s="5" t="s">
        <v>31</v>
      </c>
      <c r="C11" s="5" t="s">
        <v>32</v>
      </c>
      <c r="D11" s="5" t="s">
        <v>33</v>
      </c>
    </row>
    <row r="13" customFormat="false" ht="15" hidden="false" customHeight="false" outlineLevel="0" collapsed="false">
      <c r="A13" s="7" t="s">
        <v>34</v>
      </c>
    </row>
    <row r="14" customFormat="false" ht="61.5" hidden="false" customHeight="true" outlineLevel="0" collapsed="false">
      <c r="A14" s="8" t="s">
        <v>35</v>
      </c>
      <c r="B14" s="9" t="s">
        <v>36</v>
      </c>
      <c r="C14" s="9"/>
      <c r="D14" s="9"/>
    </row>
    <row r="15" customFormat="false" ht="61.5" hidden="false" customHeight="true" outlineLevel="0" collapsed="false">
      <c r="A15" s="10" t="s">
        <v>37</v>
      </c>
      <c r="B15" s="11" t="s">
        <v>38</v>
      </c>
      <c r="C15" s="11"/>
      <c r="D15" s="11"/>
    </row>
    <row r="16" customFormat="false" ht="61.5" hidden="false" customHeight="true" outlineLevel="0" collapsed="false">
      <c r="A16" s="12" t="s">
        <v>39</v>
      </c>
      <c r="B16" s="13" t="s">
        <v>40</v>
      </c>
      <c r="C16" s="13"/>
      <c r="D16" s="13"/>
    </row>
    <row r="18" customFormat="false" ht="15" hidden="false" customHeight="false" outlineLevel="0" collapsed="false">
      <c r="A18" s="7" t="s">
        <v>41</v>
      </c>
    </row>
    <row r="19" customFormat="false" ht="43.5" hidden="false" customHeight="true" outlineLevel="0" collapsed="false">
      <c r="A19" s="14" t="s">
        <v>42</v>
      </c>
      <c r="B19" s="14"/>
      <c r="C19" s="14"/>
      <c r="D19" s="14"/>
    </row>
    <row r="20" customFormat="false" ht="43.5" hidden="false" customHeight="true" outlineLevel="0" collapsed="false">
      <c r="A20" s="14" t="s">
        <v>43</v>
      </c>
      <c r="B20" s="14"/>
      <c r="C20" s="14"/>
      <c r="D20" s="14"/>
    </row>
    <row r="21" customFormat="false" ht="43.5" hidden="false" customHeight="true" outlineLevel="0" collapsed="false">
      <c r="A21" s="14" t="s">
        <v>44</v>
      </c>
      <c r="B21" s="14"/>
      <c r="C21" s="14"/>
      <c r="D21" s="14"/>
    </row>
  </sheetData>
  <mergeCells count="7">
    <mergeCell ref="A2:D2"/>
    <mergeCell ref="B14:D14"/>
    <mergeCell ref="B15:D15"/>
    <mergeCell ref="B16:D16"/>
    <mergeCell ref="A19:D19"/>
    <mergeCell ref="A20:D20"/>
    <mergeCell ref="A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6" topLeftCell="B17" activePane="bottomRight" state="frozen"/>
      <selection pane="topLeft" activeCell="A1" activeCellId="0" sqref="A1"/>
      <selection pane="topRight" activeCell="B1" activeCellId="0" sqref="B1"/>
      <selection pane="bottomLeft" activeCell="A17" activeCellId="0" sqref="A1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0"/>
    <col collapsed="false" customWidth="true" hidden="false" outlineLevel="0" max="3" min="3" style="0" width="44"/>
    <col collapsed="false" customWidth="true" hidden="false" outlineLevel="0" max="4" min="4" style="0" width="36"/>
    <col collapsed="false" customWidth="true" hidden="false" outlineLevel="0" max="5" min="5" style="0" width="38"/>
    <col collapsed="false" customWidth="true" hidden="false" outlineLevel="0" max="6" min="6" style="0" width="46"/>
    <col collapsed="false" customWidth="true" hidden="false" outlineLevel="0" max="7" min="7" style="0" width="52"/>
  </cols>
  <sheetData>
    <row r="1" customFormat="false" ht="19.7" hidden="false" customHeight="false" outlineLevel="0" collapsed="false">
      <c r="A1" s="1" t="s">
        <v>45</v>
      </c>
    </row>
    <row r="2" customFormat="false" ht="45.75" hidden="false" customHeight="true" outlineLevel="0" collapsed="false">
      <c r="A2" s="2" t="s">
        <v>46</v>
      </c>
      <c r="B2" s="2"/>
      <c r="C2" s="2"/>
      <c r="D2" s="2"/>
      <c r="E2" s="2"/>
      <c r="F2" s="2"/>
      <c r="G2" s="2"/>
    </row>
    <row r="4" customFormat="false" ht="15" hidden="false" customHeight="false" outlineLevel="0" collapsed="false">
      <c r="A4" s="7" t="s">
        <v>47</v>
      </c>
    </row>
    <row r="5" customFormat="false" ht="42" hidden="false" customHeight="true" outlineLevel="0" collapsed="false">
      <c r="A5" s="4" t="s">
        <v>48</v>
      </c>
      <c r="B5" s="5" t="s">
        <v>49</v>
      </c>
      <c r="C5" s="5"/>
      <c r="D5" s="5"/>
      <c r="E5" s="5"/>
      <c r="F5" s="5"/>
      <c r="G5" s="5"/>
    </row>
    <row r="6" customFormat="false" ht="42" hidden="false" customHeight="true" outlineLevel="0" collapsed="false">
      <c r="A6" s="4" t="s">
        <v>50</v>
      </c>
      <c r="B6" s="5" t="s">
        <v>51</v>
      </c>
      <c r="C6" s="5"/>
      <c r="D6" s="5"/>
      <c r="E6" s="5"/>
      <c r="F6" s="5"/>
      <c r="G6" s="5"/>
    </row>
    <row r="7" customFormat="false" ht="42" hidden="false" customHeight="true" outlineLevel="0" collapsed="false">
      <c r="A7" s="4" t="s">
        <v>52</v>
      </c>
      <c r="B7" s="5" t="s">
        <v>53</v>
      </c>
      <c r="C7" s="5"/>
      <c r="D7" s="5"/>
      <c r="E7" s="5"/>
      <c r="F7" s="5"/>
      <c r="G7" s="5"/>
    </row>
    <row r="8" customFormat="false" ht="42" hidden="false" customHeight="true" outlineLevel="0" collapsed="false">
      <c r="A8" s="4" t="s">
        <v>54</v>
      </c>
      <c r="B8" s="5" t="s">
        <v>55</v>
      </c>
      <c r="C8" s="5"/>
      <c r="D8" s="5"/>
      <c r="E8" s="5"/>
      <c r="F8" s="5"/>
      <c r="G8" s="5"/>
    </row>
    <row r="10" customFormat="false" ht="15" hidden="false" customHeight="false" outlineLevel="0" collapsed="false">
      <c r="A10" s="7" t="s">
        <v>56</v>
      </c>
    </row>
    <row r="11" customFormat="false" ht="49.5" hidden="false" customHeight="true" outlineLevel="0" collapsed="false">
      <c r="A11" s="15" t="s">
        <v>57</v>
      </c>
      <c r="B11" s="5" t="s">
        <v>58</v>
      </c>
      <c r="C11" s="5"/>
      <c r="D11" s="5"/>
      <c r="E11" s="5"/>
      <c r="F11" s="5"/>
      <c r="G11" s="5"/>
    </row>
    <row r="12" customFormat="false" ht="49.5" hidden="false" customHeight="true" outlineLevel="0" collapsed="false">
      <c r="A12" s="15" t="s">
        <v>59</v>
      </c>
      <c r="B12" s="5" t="s">
        <v>60</v>
      </c>
      <c r="C12" s="5"/>
      <c r="D12" s="5"/>
      <c r="E12" s="5"/>
      <c r="F12" s="5"/>
      <c r="G12" s="5"/>
    </row>
    <row r="13" customFormat="false" ht="49.5" hidden="false" customHeight="true" outlineLevel="0" collapsed="false">
      <c r="A13" s="15" t="s">
        <v>61</v>
      </c>
      <c r="B13" s="5" t="s">
        <v>62</v>
      </c>
      <c r="C13" s="5"/>
      <c r="D13" s="5"/>
      <c r="E13" s="5"/>
      <c r="F13" s="5"/>
      <c r="G13" s="5"/>
    </row>
    <row r="15" customFormat="false" ht="15" hidden="false" customHeight="false" outlineLevel="0" collapsed="false">
      <c r="A15" s="7" t="s">
        <v>63</v>
      </c>
    </row>
    <row r="16" customFormat="false" ht="55.5" hidden="false" customHeight="true" outlineLevel="0" collapsed="false">
      <c r="A16" s="3" t="s">
        <v>64</v>
      </c>
      <c r="B16" s="16" t="s">
        <v>65</v>
      </c>
      <c r="C16" s="17" t="s">
        <v>66</v>
      </c>
      <c r="D16" s="18" t="s">
        <v>67</v>
      </c>
      <c r="E16" s="19" t="s">
        <v>68</v>
      </c>
      <c r="F16" s="20" t="s">
        <v>69</v>
      </c>
      <c r="G16" s="21" t="s">
        <v>70</v>
      </c>
    </row>
    <row r="17" customFormat="false" ht="123.75" hidden="false" customHeight="true" outlineLevel="0" collapsed="false">
      <c r="A17" s="22" t="s">
        <v>71</v>
      </c>
      <c r="B17" s="23" t="s">
        <v>72</v>
      </c>
      <c r="C17" s="24" t="s">
        <v>73</v>
      </c>
      <c r="D17" s="25" t="s">
        <v>74</v>
      </c>
      <c r="E17" s="26" t="s">
        <v>75</v>
      </c>
      <c r="F17" s="27" t="s">
        <v>76</v>
      </c>
      <c r="G17" s="28" t="s">
        <v>77</v>
      </c>
    </row>
    <row r="18" customFormat="false" ht="123.75" hidden="false" customHeight="true" outlineLevel="0" collapsed="false">
      <c r="A18" s="29" t="s">
        <v>78</v>
      </c>
      <c r="B18" s="23" t="s">
        <v>79</v>
      </c>
      <c r="C18" s="24" t="s">
        <v>80</v>
      </c>
      <c r="D18" s="25" t="s">
        <v>81</v>
      </c>
      <c r="E18" s="26" t="s">
        <v>82</v>
      </c>
      <c r="F18" s="27" t="s">
        <v>83</v>
      </c>
      <c r="G18" s="28" t="s">
        <v>84</v>
      </c>
    </row>
    <row r="19" customFormat="false" ht="123.75" hidden="false" customHeight="true" outlineLevel="0" collapsed="false">
      <c r="A19" s="22" t="s">
        <v>85</v>
      </c>
      <c r="B19" s="23" t="s">
        <v>86</v>
      </c>
      <c r="C19" s="24" t="s">
        <v>87</v>
      </c>
      <c r="D19" s="25" t="s">
        <v>88</v>
      </c>
      <c r="E19" s="26" t="s">
        <v>89</v>
      </c>
      <c r="F19" s="27" t="s">
        <v>90</v>
      </c>
      <c r="G19" s="28" t="s">
        <v>91</v>
      </c>
    </row>
    <row r="20" customFormat="false" ht="123.75" hidden="false" customHeight="true" outlineLevel="0" collapsed="false">
      <c r="A20" s="29" t="s">
        <v>92</v>
      </c>
      <c r="B20" s="23" t="s">
        <v>93</v>
      </c>
      <c r="C20" s="24" t="s">
        <v>94</v>
      </c>
      <c r="D20" s="25" t="s">
        <v>95</v>
      </c>
      <c r="E20" s="26" t="s">
        <v>96</v>
      </c>
      <c r="F20" s="27" t="s">
        <v>97</v>
      </c>
      <c r="G20" s="28" t="s">
        <v>98</v>
      </c>
    </row>
    <row r="21" customFormat="false" ht="123.75" hidden="false" customHeight="true" outlineLevel="0" collapsed="false">
      <c r="A21" s="22" t="s">
        <v>99</v>
      </c>
      <c r="B21" s="23" t="s">
        <v>100</v>
      </c>
      <c r="C21" s="24" t="s">
        <v>101</v>
      </c>
      <c r="D21" s="25" t="s">
        <v>102</v>
      </c>
      <c r="E21" s="26" t="s">
        <v>103</v>
      </c>
      <c r="F21" s="27" t="s">
        <v>104</v>
      </c>
      <c r="G21" s="28" t="s">
        <v>105</v>
      </c>
    </row>
    <row r="22" customFormat="false" ht="123.75" hidden="false" customHeight="true" outlineLevel="0" collapsed="false">
      <c r="A22" s="29" t="s">
        <v>106</v>
      </c>
      <c r="B22" s="23" t="s">
        <v>107</v>
      </c>
      <c r="C22" s="24" t="s">
        <v>108</v>
      </c>
      <c r="D22" s="25" t="s">
        <v>109</v>
      </c>
      <c r="E22" s="26" t="s">
        <v>110</v>
      </c>
      <c r="F22" s="27" t="s">
        <v>111</v>
      </c>
      <c r="G22" s="28" t="s">
        <v>112</v>
      </c>
    </row>
    <row r="23" customFormat="false" ht="123.75" hidden="false" customHeight="true" outlineLevel="0" collapsed="false">
      <c r="A23" s="22" t="s">
        <v>113</v>
      </c>
      <c r="B23" s="23" t="s">
        <v>114</v>
      </c>
      <c r="C23" s="24" t="s">
        <v>115</v>
      </c>
      <c r="D23" s="25" t="s">
        <v>116</v>
      </c>
      <c r="E23" s="26" t="s">
        <v>117</v>
      </c>
      <c r="F23" s="27" t="s">
        <v>118</v>
      </c>
      <c r="G23" s="28" t="s">
        <v>119</v>
      </c>
    </row>
    <row r="24" customFormat="false" ht="123.75" hidden="false" customHeight="true" outlineLevel="0" collapsed="false">
      <c r="A24" s="29" t="s">
        <v>120</v>
      </c>
      <c r="B24" s="23" t="s">
        <v>121</v>
      </c>
      <c r="C24" s="24" t="s">
        <v>122</v>
      </c>
      <c r="D24" s="25" t="s">
        <v>123</v>
      </c>
      <c r="E24" s="26" t="s">
        <v>124</v>
      </c>
      <c r="F24" s="27" t="s">
        <v>125</v>
      </c>
      <c r="G24" s="28" t="s">
        <v>126</v>
      </c>
    </row>
    <row r="25" customFormat="false" ht="123.75" hidden="false" customHeight="true" outlineLevel="0" collapsed="false">
      <c r="A25" s="22" t="s">
        <v>127</v>
      </c>
      <c r="B25" s="23" t="s">
        <v>128</v>
      </c>
      <c r="C25" s="24" t="s">
        <v>129</v>
      </c>
      <c r="D25" s="25" t="s">
        <v>130</v>
      </c>
      <c r="E25" s="26" t="s">
        <v>131</v>
      </c>
      <c r="F25" s="27" t="s">
        <v>132</v>
      </c>
      <c r="G25" s="28" t="s">
        <v>133</v>
      </c>
    </row>
    <row r="26" customFormat="false" ht="123.75" hidden="false" customHeight="true" outlineLevel="0" collapsed="false">
      <c r="A26" s="29" t="s">
        <v>134</v>
      </c>
      <c r="B26" s="23" t="s">
        <v>135</v>
      </c>
      <c r="C26" s="24" t="s">
        <v>136</v>
      </c>
      <c r="D26" s="25" t="s">
        <v>137</v>
      </c>
      <c r="E26" s="26" t="s">
        <v>138</v>
      </c>
      <c r="F26" s="27" t="s">
        <v>139</v>
      </c>
      <c r="G26" s="28" t="s">
        <v>140</v>
      </c>
    </row>
    <row r="28" customFormat="false" ht="15" hidden="false" customHeight="false" outlineLevel="0" collapsed="false">
      <c r="A28" s="7" t="s">
        <v>141</v>
      </c>
    </row>
    <row r="29" customFormat="false" ht="54" hidden="false" customHeight="true" outlineLevel="0" collapsed="false">
      <c r="A29" s="30" t="s">
        <v>142</v>
      </c>
      <c r="B29" s="5" t="s">
        <v>143</v>
      </c>
      <c r="C29" s="5"/>
      <c r="D29" s="5"/>
      <c r="E29" s="5"/>
      <c r="F29" s="5"/>
      <c r="G29" s="5"/>
    </row>
    <row r="30" customFormat="false" ht="54" hidden="false" customHeight="true" outlineLevel="0" collapsed="false">
      <c r="A30" s="30" t="s">
        <v>144</v>
      </c>
      <c r="B30" s="5" t="s">
        <v>145</v>
      </c>
      <c r="C30" s="5"/>
      <c r="D30" s="5"/>
      <c r="E30" s="5"/>
      <c r="F30" s="5"/>
      <c r="G30" s="5"/>
    </row>
    <row r="31" customFormat="false" ht="54" hidden="false" customHeight="true" outlineLevel="0" collapsed="false">
      <c r="A31" s="30" t="s">
        <v>146</v>
      </c>
      <c r="B31" s="5" t="s">
        <v>147</v>
      </c>
      <c r="C31" s="5"/>
      <c r="D31" s="5"/>
      <c r="E31" s="5"/>
      <c r="F31" s="5"/>
      <c r="G31" s="5"/>
    </row>
    <row r="33" customFormat="false" ht="15" hidden="false" customHeight="false" outlineLevel="0" collapsed="false">
      <c r="A33" s="7" t="s">
        <v>148</v>
      </c>
    </row>
    <row r="34" customFormat="false" ht="15" hidden="false" customHeight="true" outlineLevel="0" collapsed="false">
      <c r="A34" s="3" t="s">
        <v>149</v>
      </c>
      <c r="B34" s="3" t="s">
        <v>150</v>
      </c>
      <c r="C34" s="3"/>
      <c r="D34" s="3"/>
      <c r="E34" s="3"/>
      <c r="F34" s="3"/>
      <c r="G34" s="3"/>
    </row>
    <row r="35" customFormat="false" ht="54" hidden="false" customHeight="true" outlineLevel="0" collapsed="false">
      <c r="A35" s="31" t="s">
        <v>151</v>
      </c>
      <c r="B35" s="32" t="s">
        <v>152</v>
      </c>
      <c r="C35" s="32"/>
      <c r="D35" s="32"/>
      <c r="E35" s="32"/>
      <c r="F35" s="32"/>
      <c r="G35" s="32"/>
    </row>
    <row r="36" customFormat="false" ht="54" hidden="false" customHeight="true" outlineLevel="0" collapsed="false">
      <c r="A36" s="33" t="s">
        <v>153</v>
      </c>
      <c r="B36" s="6" t="s">
        <v>154</v>
      </c>
      <c r="C36" s="6"/>
      <c r="D36" s="6"/>
      <c r="E36" s="6"/>
      <c r="F36" s="6"/>
      <c r="G36" s="6"/>
    </row>
    <row r="37" customFormat="false" ht="54" hidden="false" customHeight="true" outlineLevel="0" collapsed="false">
      <c r="A37" s="31" t="s">
        <v>155</v>
      </c>
      <c r="B37" s="32" t="s">
        <v>156</v>
      </c>
      <c r="C37" s="32"/>
      <c r="D37" s="32"/>
      <c r="E37" s="32"/>
      <c r="F37" s="32"/>
      <c r="G37" s="32"/>
    </row>
    <row r="38" customFormat="false" ht="54" hidden="false" customHeight="true" outlineLevel="0" collapsed="false">
      <c r="A38" s="33" t="s">
        <v>157</v>
      </c>
      <c r="B38" s="6" t="s">
        <v>158</v>
      </c>
      <c r="C38" s="6"/>
      <c r="D38" s="6"/>
      <c r="E38" s="6"/>
      <c r="F38" s="6"/>
      <c r="G38" s="6"/>
    </row>
    <row r="39" customFormat="false" ht="54" hidden="false" customHeight="true" outlineLevel="0" collapsed="false">
      <c r="A39" s="31" t="s">
        <v>159</v>
      </c>
      <c r="B39" s="32" t="s">
        <v>160</v>
      </c>
      <c r="C39" s="32"/>
      <c r="D39" s="32"/>
      <c r="E39" s="32"/>
      <c r="F39" s="32"/>
      <c r="G39" s="32"/>
    </row>
    <row r="40" customFormat="false" ht="54" hidden="false" customHeight="true" outlineLevel="0" collapsed="false">
      <c r="A40" s="33" t="s">
        <v>161</v>
      </c>
      <c r="B40" s="6" t="s">
        <v>162</v>
      </c>
      <c r="C40" s="6"/>
      <c r="D40" s="6"/>
      <c r="E40" s="6"/>
      <c r="F40" s="6"/>
      <c r="G40" s="6"/>
    </row>
    <row r="41" customFormat="false" ht="54" hidden="false" customHeight="true" outlineLevel="0" collapsed="false">
      <c r="A41" s="31" t="s">
        <v>163</v>
      </c>
      <c r="B41" s="32" t="s">
        <v>164</v>
      </c>
      <c r="C41" s="32"/>
      <c r="D41" s="32"/>
      <c r="E41" s="32"/>
      <c r="F41" s="32"/>
      <c r="G41" s="32"/>
    </row>
  </sheetData>
  <mergeCells count="19">
    <mergeCell ref="A2:G2"/>
    <mergeCell ref="B5:G5"/>
    <mergeCell ref="B6:G6"/>
    <mergeCell ref="B7:G7"/>
    <mergeCell ref="B8:G8"/>
    <mergeCell ref="B11:G11"/>
    <mergeCell ref="B12:G12"/>
    <mergeCell ref="B13:G13"/>
    <mergeCell ref="B29:G29"/>
    <mergeCell ref="B30:G30"/>
    <mergeCell ref="B31:G31"/>
    <mergeCell ref="B34:G34"/>
    <mergeCell ref="B35:G35"/>
    <mergeCell ref="B36:G36"/>
    <mergeCell ref="B37:G37"/>
    <mergeCell ref="B38:G38"/>
    <mergeCell ref="B39:G39"/>
    <mergeCell ref="B40:G40"/>
    <mergeCell ref="B41:G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5"/>
    <col collapsed="false" customWidth="true" hidden="false" outlineLevel="0" max="3" min="3" style="0" width="24"/>
    <col collapsed="false" customWidth="true" hidden="false" outlineLevel="0" max="4" min="4" style="0" width="16"/>
    <col collapsed="false" customWidth="true" hidden="false" outlineLevel="0" max="5" min="5" style="0" width="36"/>
    <col collapsed="false" customWidth="true" hidden="false" outlineLevel="0" max="6" min="6" style="0" width="24"/>
    <col collapsed="false" customWidth="true" hidden="false" outlineLevel="0" max="7" min="7" style="0" width="18"/>
    <col collapsed="false" customWidth="true" hidden="false" outlineLevel="0" max="8" min="8" style="0" width="22"/>
    <col collapsed="false" customWidth="true" hidden="false" outlineLevel="0" max="9" min="9" style="0" width="18"/>
    <col collapsed="false" customWidth="true" hidden="false" outlineLevel="0" max="10" min="10" style="0" width="34"/>
    <col collapsed="false" customWidth="true" hidden="false" outlineLevel="0" max="12" min="11" style="0" width="13"/>
    <col collapsed="false" customWidth="true" hidden="false" outlineLevel="0" max="13" min="13" style="0" width="15"/>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7"/>
  </cols>
  <sheetData>
    <row r="1" customFormat="false" ht="48" hidden="false" customHeight="true" outlineLevel="0" collapsed="false">
      <c r="A1" s="3" t="s">
        <v>165</v>
      </c>
      <c r="B1" s="3" t="s">
        <v>166</v>
      </c>
      <c r="C1" s="3" t="s">
        <v>167</v>
      </c>
      <c r="D1" s="3" t="s">
        <v>168</v>
      </c>
      <c r="E1" s="3" t="s">
        <v>169</v>
      </c>
      <c r="F1" s="3" t="s">
        <v>170</v>
      </c>
      <c r="G1" s="3" t="s">
        <v>171</v>
      </c>
      <c r="H1" s="3" t="s">
        <v>172</v>
      </c>
      <c r="I1" s="3" t="s">
        <v>173</v>
      </c>
      <c r="J1" s="3" t="s">
        <v>174</v>
      </c>
      <c r="K1" s="3" t="s">
        <v>175</v>
      </c>
      <c r="L1" s="3" t="s">
        <v>176</v>
      </c>
      <c r="M1" s="3" t="s">
        <v>177</v>
      </c>
      <c r="N1" s="3" t="s">
        <v>106</v>
      </c>
      <c r="O1" s="3" t="s">
        <v>178</v>
      </c>
      <c r="P1" s="3" t="s">
        <v>179</v>
      </c>
      <c r="Q1" s="3" t="s">
        <v>180</v>
      </c>
      <c r="R1" s="3" t="s">
        <v>181</v>
      </c>
      <c r="S1" s="3" t="s">
        <v>182</v>
      </c>
      <c r="T1" s="3" t="s">
        <v>183</v>
      </c>
      <c r="U1" s="3" t="s">
        <v>184</v>
      </c>
      <c r="V1" s="3" t="s">
        <v>185</v>
      </c>
      <c r="W1" s="3" t="s">
        <v>186</v>
      </c>
      <c r="X1" s="3" t="s">
        <v>187</v>
      </c>
      <c r="Y1" s="3" t="s">
        <v>188</v>
      </c>
      <c r="Z1" s="3" t="s">
        <v>189</v>
      </c>
      <c r="AA1" s="3" t="s">
        <v>190</v>
      </c>
      <c r="AB1" s="3" t="s">
        <v>191</v>
      </c>
      <c r="AC1" s="3" t="s">
        <v>192</v>
      </c>
      <c r="AD1" s="3" t="s">
        <v>193</v>
      </c>
      <c r="AE1" s="3" t="s">
        <v>194</v>
      </c>
      <c r="AF1" s="3" t="s">
        <v>195</v>
      </c>
      <c r="AG1" s="3" t="s">
        <v>196</v>
      </c>
      <c r="AH1" s="3" t="s">
        <v>197</v>
      </c>
      <c r="AI1" s="3" t="s">
        <v>198</v>
      </c>
    </row>
    <row r="2" customFormat="false" ht="57.75" hidden="false" customHeight="true" outlineLevel="0" collapsed="false">
      <c r="A2" s="32" t="n">
        <v>1</v>
      </c>
      <c r="B2" s="34" t="s">
        <v>199</v>
      </c>
      <c r="C2" s="32" t="s">
        <v>200</v>
      </c>
      <c r="D2" s="32" t="s">
        <v>201</v>
      </c>
      <c r="E2" s="31" t="s">
        <v>202</v>
      </c>
      <c r="F2" s="32" t="s">
        <v>203</v>
      </c>
      <c r="G2" s="32" t="s">
        <v>204</v>
      </c>
      <c r="H2" s="32" t="s">
        <v>205</v>
      </c>
      <c r="I2" s="32" t="s">
        <v>206</v>
      </c>
      <c r="J2" s="32" t="s">
        <v>207</v>
      </c>
      <c r="K2" s="35" t="n">
        <v>2926</v>
      </c>
      <c r="L2" s="35" t="n">
        <v>4006</v>
      </c>
      <c r="M2" s="32" t="s">
        <v>208</v>
      </c>
      <c r="N2" s="36" t="s">
        <v>106</v>
      </c>
      <c r="O2" s="36" t="s">
        <v>209</v>
      </c>
      <c r="P2" s="32"/>
      <c r="Q2" s="36" t="s">
        <v>210</v>
      </c>
      <c r="R2" s="36" t="s">
        <v>211</v>
      </c>
      <c r="S2" s="36" t="s">
        <v>212</v>
      </c>
      <c r="T2" s="32"/>
      <c r="U2" s="36" t="s">
        <v>213</v>
      </c>
      <c r="V2" s="32"/>
      <c r="W2" s="32" t="s">
        <v>214</v>
      </c>
      <c r="X2" s="32"/>
      <c r="Y2" s="32" t="s">
        <v>215</v>
      </c>
      <c r="Z2" s="32"/>
      <c r="AA2" s="37" t="s">
        <v>216</v>
      </c>
      <c r="AB2" s="37" t="s">
        <v>216</v>
      </c>
      <c r="AC2" s="38" t="s">
        <v>217</v>
      </c>
      <c r="AD2" s="37" t="s">
        <v>216</v>
      </c>
      <c r="AE2" s="37" t="s">
        <v>216</v>
      </c>
      <c r="AF2" s="37" t="s">
        <v>216</v>
      </c>
      <c r="AG2" s="38" t="s">
        <v>217</v>
      </c>
      <c r="AH2" s="37" t="s">
        <v>216</v>
      </c>
      <c r="AI2" s="38" t="s">
        <v>217</v>
      </c>
    </row>
    <row r="3" customFormat="false" ht="57.75" hidden="false" customHeight="true" outlineLevel="0" collapsed="false">
      <c r="A3" s="39" t="n">
        <v>2</v>
      </c>
      <c r="B3" s="40" t="s">
        <v>199</v>
      </c>
      <c r="C3" s="39" t="s">
        <v>200</v>
      </c>
      <c r="D3" s="39" t="s">
        <v>201</v>
      </c>
      <c r="E3" s="41" t="s">
        <v>218</v>
      </c>
      <c r="F3" s="39" t="s">
        <v>219</v>
      </c>
      <c r="G3" s="39" t="s">
        <v>220</v>
      </c>
      <c r="H3" s="39" t="s">
        <v>205</v>
      </c>
      <c r="I3" s="39" t="s">
        <v>221</v>
      </c>
      <c r="J3" s="39"/>
      <c r="K3" s="42"/>
      <c r="L3" s="42"/>
      <c r="M3" s="39" t="s">
        <v>222</v>
      </c>
      <c r="N3" s="36" t="s">
        <v>106</v>
      </c>
      <c r="O3" s="36" t="s">
        <v>223</v>
      </c>
      <c r="P3" s="36" t="s">
        <v>224</v>
      </c>
      <c r="Q3" s="36" t="s">
        <v>225</v>
      </c>
      <c r="R3" s="36" t="s">
        <v>226</v>
      </c>
      <c r="S3" s="36" t="s">
        <v>212</v>
      </c>
      <c r="T3" s="39"/>
      <c r="U3" s="36" t="s">
        <v>227</v>
      </c>
      <c r="V3" s="39"/>
      <c r="W3" s="39" t="s">
        <v>228</v>
      </c>
      <c r="X3" s="39"/>
      <c r="Y3" s="39" t="s">
        <v>229</v>
      </c>
      <c r="Z3" s="39" t="s">
        <v>230</v>
      </c>
      <c r="AA3" s="37" t="s">
        <v>216</v>
      </c>
      <c r="AB3" s="37" t="s">
        <v>216</v>
      </c>
      <c r="AC3" s="37" t="s">
        <v>216</v>
      </c>
      <c r="AD3" s="37" t="s">
        <v>216</v>
      </c>
      <c r="AE3" s="37" t="s">
        <v>216</v>
      </c>
      <c r="AF3" s="37" t="s">
        <v>216</v>
      </c>
      <c r="AG3" s="38" t="s">
        <v>217</v>
      </c>
      <c r="AH3" s="37" t="s">
        <v>216</v>
      </c>
      <c r="AI3" s="38" t="s">
        <v>217</v>
      </c>
    </row>
    <row r="4" customFormat="false" ht="57.75" hidden="false" customHeight="true" outlineLevel="0" collapsed="false">
      <c r="A4" s="32" t="n">
        <v>3</v>
      </c>
      <c r="B4" s="34" t="s">
        <v>199</v>
      </c>
      <c r="C4" s="32" t="s">
        <v>200</v>
      </c>
      <c r="D4" s="32" t="s">
        <v>201</v>
      </c>
      <c r="E4" s="31" t="s">
        <v>231</v>
      </c>
      <c r="F4" s="32" t="s">
        <v>232</v>
      </c>
      <c r="G4" s="32" t="s">
        <v>233</v>
      </c>
      <c r="H4" s="32" t="s">
        <v>205</v>
      </c>
      <c r="I4" s="32" t="s">
        <v>234</v>
      </c>
      <c r="J4" s="32" t="s">
        <v>235</v>
      </c>
      <c r="K4" s="35" t="n">
        <v>4620</v>
      </c>
      <c r="L4" s="35" t="n">
        <v>4620</v>
      </c>
      <c r="M4" s="32" t="s">
        <v>208</v>
      </c>
      <c r="N4" s="36" t="s">
        <v>106</v>
      </c>
      <c r="O4" s="36" t="s">
        <v>236</v>
      </c>
      <c r="P4" s="32"/>
      <c r="Q4" s="36" t="s">
        <v>237</v>
      </c>
      <c r="R4" s="36" t="s">
        <v>238</v>
      </c>
      <c r="S4" s="36" t="s">
        <v>212</v>
      </c>
      <c r="T4" s="32"/>
      <c r="U4" s="32"/>
      <c r="V4" s="36" t="s">
        <v>239</v>
      </c>
      <c r="W4" s="32" t="s">
        <v>240</v>
      </c>
      <c r="X4" s="32"/>
      <c r="Y4" s="32" t="s">
        <v>241</v>
      </c>
      <c r="Z4" s="32" t="s">
        <v>242</v>
      </c>
      <c r="AA4" s="37" t="s">
        <v>216</v>
      </c>
      <c r="AB4" s="37" t="s">
        <v>216</v>
      </c>
      <c r="AC4" s="38" t="s">
        <v>217</v>
      </c>
      <c r="AD4" s="37" t="s">
        <v>216</v>
      </c>
      <c r="AE4" s="37" t="s">
        <v>216</v>
      </c>
      <c r="AF4" s="37" t="s">
        <v>216</v>
      </c>
      <c r="AG4" s="38" t="s">
        <v>217</v>
      </c>
      <c r="AH4" s="38" t="s">
        <v>217</v>
      </c>
      <c r="AI4" s="37" t="s">
        <v>216</v>
      </c>
    </row>
    <row r="5" customFormat="false" ht="57.75" hidden="false" customHeight="true" outlineLevel="0" collapsed="false">
      <c r="A5" s="39" t="n">
        <v>4</v>
      </c>
      <c r="B5" s="40" t="s">
        <v>199</v>
      </c>
      <c r="C5" s="39" t="s">
        <v>200</v>
      </c>
      <c r="D5" s="39" t="s">
        <v>201</v>
      </c>
      <c r="E5" s="41" t="s">
        <v>243</v>
      </c>
      <c r="F5" s="39" t="s">
        <v>244</v>
      </c>
      <c r="G5" s="39" t="s">
        <v>245</v>
      </c>
      <c r="H5" s="39" t="s">
        <v>205</v>
      </c>
      <c r="I5" s="39" t="s">
        <v>246</v>
      </c>
      <c r="J5" s="39"/>
      <c r="K5" s="42"/>
      <c r="L5" s="42"/>
      <c r="M5" s="39" t="s">
        <v>222</v>
      </c>
      <c r="N5" s="39"/>
      <c r="O5" s="39"/>
      <c r="P5" s="39"/>
      <c r="Q5" s="36" t="s">
        <v>247</v>
      </c>
      <c r="R5" s="39"/>
      <c r="S5" s="39"/>
      <c r="T5" s="39"/>
      <c r="U5" s="36" t="s">
        <v>248</v>
      </c>
      <c r="V5" s="39"/>
      <c r="W5" s="39" t="s">
        <v>249</v>
      </c>
      <c r="X5" s="39"/>
      <c r="Y5" s="39" t="s">
        <v>250</v>
      </c>
      <c r="Z5" s="39" t="s">
        <v>251</v>
      </c>
      <c r="AA5" s="38" t="s">
        <v>217</v>
      </c>
      <c r="AB5" s="38" t="s">
        <v>217</v>
      </c>
      <c r="AC5" s="38" t="s">
        <v>217</v>
      </c>
      <c r="AD5" s="37" t="s">
        <v>216</v>
      </c>
      <c r="AE5" s="38" t="s">
        <v>217</v>
      </c>
      <c r="AF5" s="38" t="s">
        <v>217</v>
      </c>
      <c r="AG5" s="38" t="s">
        <v>217</v>
      </c>
      <c r="AH5" s="37" t="s">
        <v>216</v>
      </c>
      <c r="AI5" s="38" t="s">
        <v>217</v>
      </c>
    </row>
    <row r="6" customFormat="false" ht="57.75" hidden="false" customHeight="true" outlineLevel="0" collapsed="false">
      <c r="A6" s="32" t="n">
        <v>5</v>
      </c>
      <c r="B6" s="34" t="s">
        <v>199</v>
      </c>
      <c r="C6" s="32" t="s">
        <v>200</v>
      </c>
      <c r="D6" s="32" t="s">
        <v>201</v>
      </c>
      <c r="E6" s="31" t="s">
        <v>252</v>
      </c>
      <c r="F6" s="32" t="s">
        <v>253</v>
      </c>
      <c r="G6" s="32" t="s">
        <v>220</v>
      </c>
      <c r="H6" s="32" t="s">
        <v>254</v>
      </c>
      <c r="I6" s="32" t="s">
        <v>255</v>
      </c>
      <c r="J6" s="32"/>
      <c r="K6" s="35"/>
      <c r="L6" s="35"/>
      <c r="M6" s="32" t="s">
        <v>217</v>
      </c>
      <c r="N6" s="32"/>
      <c r="O6" s="32"/>
      <c r="P6" s="36" t="s">
        <v>256</v>
      </c>
      <c r="Q6" s="36" t="s">
        <v>257</v>
      </c>
      <c r="R6" s="32"/>
      <c r="S6" s="32"/>
      <c r="T6" s="32"/>
      <c r="U6" s="36" t="s">
        <v>258</v>
      </c>
      <c r="V6" s="32"/>
      <c r="W6" s="32" t="s">
        <v>259</v>
      </c>
      <c r="X6" s="32"/>
      <c r="Y6" s="32" t="s">
        <v>229</v>
      </c>
      <c r="Z6" s="32" t="s">
        <v>260</v>
      </c>
      <c r="AA6" s="38" t="s">
        <v>217</v>
      </c>
      <c r="AB6" s="38" t="s">
        <v>217</v>
      </c>
      <c r="AC6" s="37" t="s">
        <v>216</v>
      </c>
      <c r="AD6" s="37" t="s">
        <v>216</v>
      </c>
      <c r="AE6" s="38" t="s">
        <v>217</v>
      </c>
      <c r="AF6" s="38" t="s">
        <v>217</v>
      </c>
      <c r="AG6" s="38" t="s">
        <v>217</v>
      </c>
      <c r="AH6" s="37" t="s">
        <v>216</v>
      </c>
      <c r="AI6" s="38" t="s">
        <v>217</v>
      </c>
    </row>
    <row r="7" customFormat="false" ht="57.75" hidden="false" customHeight="true" outlineLevel="0" collapsed="false">
      <c r="A7" s="39" t="n">
        <v>6</v>
      </c>
      <c r="B7" s="40" t="s">
        <v>199</v>
      </c>
      <c r="C7" s="39" t="s">
        <v>200</v>
      </c>
      <c r="D7" s="39" t="s">
        <v>201</v>
      </c>
      <c r="E7" s="41" t="s">
        <v>261</v>
      </c>
      <c r="F7" s="39" t="s">
        <v>262</v>
      </c>
      <c r="G7" s="39" t="s">
        <v>263</v>
      </c>
      <c r="H7" s="39" t="s">
        <v>205</v>
      </c>
      <c r="I7" s="39" t="s">
        <v>264</v>
      </c>
      <c r="J7" s="39"/>
      <c r="K7" s="42"/>
      <c r="L7" s="42"/>
      <c r="M7" s="39" t="s">
        <v>222</v>
      </c>
      <c r="N7" s="39"/>
      <c r="O7" s="39"/>
      <c r="P7" s="39"/>
      <c r="Q7" s="39"/>
      <c r="R7" s="39"/>
      <c r="S7" s="39"/>
      <c r="T7" s="39"/>
      <c r="U7" s="39"/>
      <c r="V7" s="39"/>
      <c r="W7" s="39" t="s">
        <v>265</v>
      </c>
      <c r="X7" s="39"/>
      <c r="Y7" s="39" t="s">
        <v>241</v>
      </c>
      <c r="Z7" s="39" t="s">
        <v>266</v>
      </c>
      <c r="AA7" s="38" t="s">
        <v>217</v>
      </c>
      <c r="AB7" s="38" t="s">
        <v>217</v>
      </c>
      <c r="AC7" s="38" t="s">
        <v>217</v>
      </c>
      <c r="AD7" s="38" t="s">
        <v>217</v>
      </c>
      <c r="AE7" s="38" t="s">
        <v>217</v>
      </c>
      <c r="AF7" s="38" t="s">
        <v>217</v>
      </c>
      <c r="AG7" s="38" t="s">
        <v>217</v>
      </c>
      <c r="AH7" s="38" t="s">
        <v>217</v>
      </c>
      <c r="AI7" s="38" t="s">
        <v>217</v>
      </c>
    </row>
    <row r="8" customFormat="false" ht="57.75" hidden="false" customHeight="true" outlineLevel="0" collapsed="false">
      <c r="A8" s="32" t="n">
        <v>7</v>
      </c>
      <c r="B8" s="34" t="s">
        <v>199</v>
      </c>
      <c r="C8" s="32" t="s">
        <v>200</v>
      </c>
      <c r="D8" s="32" t="s">
        <v>201</v>
      </c>
      <c r="E8" s="31" t="s">
        <v>267</v>
      </c>
      <c r="F8" s="32" t="s">
        <v>268</v>
      </c>
      <c r="G8" s="32" t="s">
        <v>269</v>
      </c>
      <c r="H8" s="32" t="s">
        <v>270</v>
      </c>
      <c r="I8" s="32" t="s">
        <v>271</v>
      </c>
      <c r="J8" s="32"/>
      <c r="K8" s="35"/>
      <c r="L8" s="35"/>
      <c r="M8" s="32" t="s">
        <v>217</v>
      </c>
      <c r="N8" s="32"/>
      <c r="O8" s="32"/>
      <c r="P8" s="32"/>
      <c r="Q8" s="32"/>
      <c r="R8" s="32"/>
      <c r="S8" s="32"/>
      <c r="T8" s="32"/>
      <c r="U8" s="32"/>
      <c r="V8" s="32"/>
      <c r="W8" s="32"/>
      <c r="X8" s="32"/>
      <c r="Y8" s="32" t="s">
        <v>272</v>
      </c>
      <c r="Z8" s="32" t="s">
        <v>273</v>
      </c>
      <c r="AA8" s="38" t="s">
        <v>217</v>
      </c>
      <c r="AB8" s="38" t="s">
        <v>217</v>
      </c>
      <c r="AC8" s="38" t="s">
        <v>217</v>
      </c>
      <c r="AD8" s="38" t="s">
        <v>217</v>
      </c>
      <c r="AE8" s="38" t="s">
        <v>217</v>
      </c>
      <c r="AF8" s="38" t="s">
        <v>217</v>
      </c>
      <c r="AG8" s="38" t="s">
        <v>217</v>
      </c>
      <c r="AH8" s="38" t="s">
        <v>217</v>
      </c>
      <c r="AI8" s="38" t="s">
        <v>217</v>
      </c>
    </row>
    <row r="9" customFormat="false" ht="57.75" hidden="false" customHeight="true" outlineLevel="0" collapsed="false">
      <c r="A9" s="39" t="n">
        <v>8</v>
      </c>
      <c r="B9" s="40" t="s">
        <v>199</v>
      </c>
      <c r="C9" s="39" t="s">
        <v>200</v>
      </c>
      <c r="D9" s="39" t="s">
        <v>201</v>
      </c>
      <c r="E9" s="41" t="s">
        <v>274</v>
      </c>
      <c r="F9" s="39" t="s">
        <v>275</v>
      </c>
      <c r="G9" s="39" t="s">
        <v>276</v>
      </c>
      <c r="H9" s="39" t="s">
        <v>205</v>
      </c>
      <c r="I9" s="39" t="s">
        <v>277</v>
      </c>
      <c r="J9" s="39"/>
      <c r="K9" s="42"/>
      <c r="L9" s="42"/>
      <c r="M9" s="39" t="s">
        <v>222</v>
      </c>
      <c r="N9" s="39"/>
      <c r="O9" s="36" t="s">
        <v>278</v>
      </c>
      <c r="P9" s="39"/>
      <c r="Q9" s="39"/>
      <c r="R9" s="36" t="s">
        <v>279</v>
      </c>
      <c r="S9" s="39"/>
      <c r="T9" s="39"/>
      <c r="U9" s="39"/>
      <c r="V9" s="39"/>
      <c r="W9" s="39" t="s">
        <v>280</v>
      </c>
      <c r="X9" s="39"/>
      <c r="Y9" s="39" t="s">
        <v>272</v>
      </c>
      <c r="Z9" s="39" t="s">
        <v>281</v>
      </c>
      <c r="AA9" s="38" t="s">
        <v>217</v>
      </c>
      <c r="AB9" s="37" t="s">
        <v>216</v>
      </c>
      <c r="AC9" s="38" t="s">
        <v>217</v>
      </c>
      <c r="AD9" s="38" t="s">
        <v>217</v>
      </c>
      <c r="AE9" s="37" t="s">
        <v>216</v>
      </c>
      <c r="AF9" s="38" t="s">
        <v>217</v>
      </c>
      <c r="AG9" s="38" t="s">
        <v>217</v>
      </c>
      <c r="AH9" s="38" t="s">
        <v>217</v>
      </c>
      <c r="AI9" s="38" t="s">
        <v>217</v>
      </c>
    </row>
    <row r="10" customFormat="false" ht="57.75" hidden="false" customHeight="true" outlineLevel="0" collapsed="false">
      <c r="A10" s="32" t="n">
        <v>9</v>
      </c>
      <c r="B10" s="34" t="s">
        <v>199</v>
      </c>
      <c r="C10" s="32" t="s">
        <v>200</v>
      </c>
      <c r="D10" s="32" t="s">
        <v>201</v>
      </c>
      <c r="E10" s="31" t="s">
        <v>282</v>
      </c>
      <c r="F10" s="32" t="s">
        <v>283</v>
      </c>
      <c r="G10" s="32" t="s">
        <v>284</v>
      </c>
      <c r="H10" s="32" t="s">
        <v>285</v>
      </c>
      <c r="I10" s="32" t="s">
        <v>286</v>
      </c>
      <c r="J10" s="32"/>
      <c r="K10" s="35"/>
      <c r="L10" s="35"/>
      <c r="M10" s="32" t="s">
        <v>217</v>
      </c>
      <c r="N10" s="32"/>
      <c r="O10" s="36" t="s">
        <v>287</v>
      </c>
      <c r="P10" s="32"/>
      <c r="Q10" s="36" t="s">
        <v>92</v>
      </c>
      <c r="R10" s="36" t="s">
        <v>288</v>
      </c>
      <c r="S10" s="32"/>
      <c r="T10" s="36" t="s">
        <v>289</v>
      </c>
      <c r="U10" s="32"/>
      <c r="V10" s="32"/>
      <c r="W10" s="32"/>
      <c r="X10" s="32"/>
      <c r="Y10" s="32" t="s">
        <v>290</v>
      </c>
      <c r="Z10" s="32" t="s">
        <v>291</v>
      </c>
      <c r="AA10" s="38" t="s">
        <v>217</v>
      </c>
      <c r="AB10" s="37" t="s">
        <v>216</v>
      </c>
      <c r="AC10" s="38" t="s">
        <v>217</v>
      </c>
      <c r="AD10" s="37" t="s">
        <v>216</v>
      </c>
      <c r="AE10" s="37" t="s">
        <v>216</v>
      </c>
      <c r="AF10" s="38" t="s">
        <v>217</v>
      </c>
      <c r="AG10" s="37" t="s">
        <v>216</v>
      </c>
      <c r="AH10" s="38" t="s">
        <v>217</v>
      </c>
      <c r="AI10" s="38" t="s">
        <v>217</v>
      </c>
    </row>
    <row r="11" customFormat="false" ht="57.75" hidden="false" customHeight="true" outlineLevel="0" collapsed="false">
      <c r="A11" s="39" t="n">
        <v>10</v>
      </c>
      <c r="B11" s="40" t="s">
        <v>199</v>
      </c>
      <c r="C11" s="39" t="s">
        <v>200</v>
      </c>
      <c r="D11" s="39" t="s">
        <v>201</v>
      </c>
      <c r="E11" s="41" t="s">
        <v>292</v>
      </c>
      <c r="F11" s="39" t="s">
        <v>293</v>
      </c>
      <c r="G11" s="39" t="s">
        <v>294</v>
      </c>
      <c r="H11" s="39" t="s">
        <v>295</v>
      </c>
      <c r="I11" s="39" t="s">
        <v>296</v>
      </c>
      <c r="J11" s="39"/>
      <c r="K11" s="42"/>
      <c r="L11" s="42"/>
      <c r="M11" s="39" t="s">
        <v>217</v>
      </c>
      <c r="N11" s="39"/>
      <c r="O11" s="36" t="s">
        <v>297</v>
      </c>
      <c r="P11" s="36" t="s">
        <v>298</v>
      </c>
      <c r="Q11" s="39"/>
      <c r="R11" s="36" t="s">
        <v>299</v>
      </c>
      <c r="S11" s="36" t="s">
        <v>300</v>
      </c>
      <c r="T11" s="39"/>
      <c r="U11" s="36" t="s">
        <v>301</v>
      </c>
      <c r="V11" s="39"/>
      <c r="W11" s="39" t="s">
        <v>302</v>
      </c>
      <c r="X11" s="39"/>
      <c r="Y11" s="39" t="s">
        <v>303</v>
      </c>
      <c r="Z11" s="39" t="s">
        <v>304</v>
      </c>
      <c r="AA11" s="38" t="s">
        <v>217</v>
      </c>
      <c r="AB11" s="37" t="s">
        <v>216</v>
      </c>
      <c r="AC11" s="37" t="s">
        <v>216</v>
      </c>
      <c r="AD11" s="38" t="s">
        <v>217</v>
      </c>
      <c r="AE11" s="37" t="s">
        <v>216</v>
      </c>
      <c r="AF11" s="37" t="s">
        <v>216</v>
      </c>
      <c r="AG11" s="38" t="s">
        <v>217</v>
      </c>
      <c r="AH11" s="37" t="s">
        <v>216</v>
      </c>
      <c r="AI11" s="38" t="s">
        <v>217</v>
      </c>
    </row>
    <row r="12" customFormat="false" ht="57.75" hidden="false" customHeight="true" outlineLevel="0" collapsed="false">
      <c r="A12" s="32" t="n">
        <v>11</v>
      </c>
      <c r="B12" s="34" t="s">
        <v>199</v>
      </c>
      <c r="C12" s="32" t="s">
        <v>200</v>
      </c>
      <c r="D12" s="32" t="s">
        <v>201</v>
      </c>
      <c r="E12" s="31" t="s">
        <v>305</v>
      </c>
      <c r="F12" s="32" t="s">
        <v>306</v>
      </c>
      <c r="G12" s="32" t="s">
        <v>307</v>
      </c>
      <c r="H12" s="32" t="s">
        <v>205</v>
      </c>
      <c r="I12" s="32" t="s">
        <v>308</v>
      </c>
      <c r="J12" s="32"/>
      <c r="K12" s="35"/>
      <c r="L12" s="35"/>
      <c r="M12" s="32" t="s">
        <v>222</v>
      </c>
      <c r="N12" s="36" t="s">
        <v>309</v>
      </c>
      <c r="O12" s="36" t="s">
        <v>310</v>
      </c>
      <c r="P12" s="32"/>
      <c r="Q12" s="36" t="s">
        <v>311</v>
      </c>
      <c r="R12" s="36" t="s">
        <v>312</v>
      </c>
      <c r="S12" s="32"/>
      <c r="T12" s="32"/>
      <c r="U12" s="36" t="s">
        <v>313</v>
      </c>
      <c r="V12" s="32"/>
      <c r="W12" s="32" t="s">
        <v>314</v>
      </c>
      <c r="X12" s="32"/>
      <c r="Y12" s="32" t="s">
        <v>315</v>
      </c>
      <c r="Z12" s="32" t="s">
        <v>316</v>
      </c>
      <c r="AA12" s="37" t="s">
        <v>216</v>
      </c>
      <c r="AB12" s="37" t="s">
        <v>216</v>
      </c>
      <c r="AC12" s="38" t="s">
        <v>217</v>
      </c>
      <c r="AD12" s="37" t="s">
        <v>216</v>
      </c>
      <c r="AE12" s="37" t="s">
        <v>216</v>
      </c>
      <c r="AF12" s="38" t="s">
        <v>217</v>
      </c>
      <c r="AG12" s="38" t="s">
        <v>217</v>
      </c>
      <c r="AH12" s="37" t="s">
        <v>216</v>
      </c>
      <c r="AI12" s="38" t="s">
        <v>217</v>
      </c>
    </row>
    <row r="13" customFormat="false" ht="57.75" hidden="false" customHeight="true" outlineLevel="0" collapsed="false">
      <c r="A13" s="39" t="n">
        <v>12</v>
      </c>
      <c r="B13" s="40" t="s">
        <v>199</v>
      </c>
      <c r="C13" s="39" t="s">
        <v>200</v>
      </c>
      <c r="D13" s="39" t="s">
        <v>201</v>
      </c>
      <c r="E13" s="41" t="s">
        <v>317</v>
      </c>
      <c r="F13" s="39" t="s">
        <v>318</v>
      </c>
      <c r="G13" s="39" t="s">
        <v>307</v>
      </c>
      <c r="H13" s="39" t="s">
        <v>205</v>
      </c>
      <c r="I13" s="39" t="s">
        <v>319</v>
      </c>
      <c r="J13" s="39"/>
      <c r="K13" s="42"/>
      <c r="L13" s="42"/>
      <c r="M13" s="39" t="s">
        <v>222</v>
      </c>
      <c r="N13" s="39"/>
      <c r="O13" s="36" t="s">
        <v>320</v>
      </c>
      <c r="P13" s="39"/>
      <c r="Q13" s="36" t="s">
        <v>257</v>
      </c>
      <c r="R13" s="36" t="s">
        <v>321</v>
      </c>
      <c r="S13" s="36" t="s">
        <v>322</v>
      </c>
      <c r="T13" s="39"/>
      <c r="U13" s="36" t="s">
        <v>323</v>
      </c>
      <c r="V13" s="39"/>
      <c r="W13" s="39" t="s">
        <v>324</v>
      </c>
      <c r="X13" s="39"/>
      <c r="Y13" s="39" t="s">
        <v>315</v>
      </c>
      <c r="Z13" s="39"/>
      <c r="AA13" s="38" t="s">
        <v>217</v>
      </c>
      <c r="AB13" s="37" t="s">
        <v>216</v>
      </c>
      <c r="AC13" s="38" t="s">
        <v>217</v>
      </c>
      <c r="AD13" s="37" t="s">
        <v>216</v>
      </c>
      <c r="AE13" s="37" t="s">
        <v>216</v>
      </c>
      <c r="AF13" s="37" t="s">
        <v>216</v>
      </c>
      <c r="AG13" s="38" t="s">
        <v>217</v>
      </c>
      <c r="AH13" s="37" t="s">
        <v>216</v>
      </c>
      <c r="AI13" s="38" t="s">
        <v>217</v>
      </c>
    </row>
    <row r="14" customFormat="false" ht="57.75" hidden="false" customHeight="true" outlineLevel="0" collapsed="false">
      <c r="A14" s="32" t="n">
        <v>13</v>
      </c>
      <c r="B14" s="34" t="s">
        <v>199</v>
      </c>
      <c r="C14" s="32" t="s">
        <v>200</v>
      </c>
      <c r="D14" s="32" t="s">
        <v>201</v>
      </c>
      <c r="E14" s="31" t="s">
        <v>325</v>
      </c>
      <c r="F14" s="32" t="s">
        <v>326</v>
      </c>
      <c r="G14" s="32" t="s">
        <v>327</v>
      </c>
      <c r="H14" s="32" t="s">
        <v>205</v>
      </c>
      <c r="I14" s="32" t="s">
        <v>328</v>
      </c>
      <c r="J14" s="32"/>
      <c r="K14" s="35"/>
      <c r="L14" s="35"/>
      <c r="M14" s="32" t="s">
        <v>222</v>
      </c>
      <c r="N14" s="32"/>
      <c r="O14" s="43" t="s">
        <v>329</v>
      </c>
      <c r="P14" s="32"/>
      <c r="Q14" s="32"/>
      <c r="R14" s="43" t="s">
        <v>330</v>
      </c>
      <c r="S14" s="32"/>
      <c r="T14" s="32"/>
      <c r="U14" s="36" t="s">
        <v>331</v>
      </c>
      <c r="V14" s="32"/>
      <c r="W14" s="32" t="s">
        <v>332</v>
      </c>
      <c r="X14" s="32"/>
      <c r="Y14" s="32" t="s">
        <v>333</v>
      </c>
      <c r="Z14" s="32" t="s">
        <v>334</v>
      </c>
      <c r="AA14" s="38" t="s">
        <v>217</v>
      </c>
      <c r="AB14" s="44" t="s">
        <v>335</v>
      </c>
      <c r="AC14" s="38" t="s">
        <v>217</v>
      </c>
      <c r="AD14" s="38" t="s">
        <v>217</v>
      </c>
      <c r="AE14" s="44" t="s">
        <v>335</v>
      </c>
      <c r="AF14" s="38" t="s">
        <v>217</v>
      </c>
      <c r="AG14" s="38" t="s">
        <v>217</v>
      </c>
      <c r="AH14" s="37" t="s">
        <v>216</v>
      </c>
      <c r="AI14" s="38" t="s">
        <v>217</v>
      </c>
    </row>
    <row r="15" customFormat="false" ht="57.75" hidden="false" customHeight="true" outlineLevel="0" collapsed="false">
      <c r="A15" s="39" t="n">
        <v>14</v>
      </c>
      <c r="B15" s="40" t="s">
        <v>199</v>
      </c>
      <c r="C15" s="39" t="s">
        <v>200</v>
      </c>
      <c r="D15" s="39" t="s">
        <v>201</v>
      </c>
      <c r="E15" s="41" t="s">
        <v>336</v>
      </c>
      <c r="F15" s="39" t="s">
        <v>337</v>
      </c>
      <c r="G15" s="39" t="s">
        <v>338</v>
      </c>
      <c r="H15" s="39" t="s">
        <v>339</v>
      </c>
      <c r="I15" s="39" t="s">
        <v>340</v>
      </c>
      <c r="J15" s="39"/>
      <c r="K15" s="42"/>
      <c r="L15" s="42"/>
      <c r="M15" s="39" t="s">
        <v>217</v>
      </c>
      <c r="N15" s="39"/>
      <c r="O15" s="39"/>
      <c r="P15" s="39"/>
      <c r="Q15" s="36" t="s">
        <v>341</v>
      </c>
      <c r="R15" s="39"/>
      <c r="S15" s="39"/>
      <c r="T15" s="36" t="s">
        <v>341</v>
      </c>
      <c r="U15" s="39"/>
      <c r="V15" s="36" t="s">
        <v>342</v>
      </c>
      <c r="W15" s="39" t="s">
        <v>343</v>
      </c>
      <c r="X15" s="39"/>
      <c r="Y15" s="39" t="s">
        <v>344</v>
      </c>
      <c r="Z15" s="39" t="s">
        <v>345</v>
      </c>
      <c r="AA15" s="38" t="s">
        <v>217</v>
      </c>
      <c r="AB15" s="38" t="s">
        <v>217</v>
      </c>
      <c r="AC15" s="38" t="s">
        <v>217</v>
      </c>
      <c r="AD15" s="37" t="s">
        <v>216</v>
      </c>
      <c r="AE15" s="38" t="s">
        <v>217</v>
      </c>
      <c r="AF15" s="38" t="s">
        <v>217</v>
      </c>
      <c r="AG15" s="37" t="s">
        <v>216</v>
      </c>
      <c r="AH15" s="38" t="s">
        <v>217</v>
      </c>
      <c r="AI15" s="37" t="s">
        <v>216</v>
      </c>
    </row>
    <row r="16" customFormat="false" ht="57.75" hidden="false" customHeight="true" outlineLevel="0" collapsed="false">
      <c r="A16" s="32" t="n">
        <v>15</v>
      </c>
      <c r="B16" s="34" t="s">
        <v>199</v>
      </c>
      <c r="C16" s="32" t="s">
        <v>200</v>
      </c>
      <c r="D16" s="32" t="s">
        <v>201</v>
      </c>
      <c r="E16" s="31" t="s">
        <v>346</v>
      </c>
      <c r="F16" s="32" t="s">
        <v>347</v>
      </c>
      <c r="G16" s="32" t="s">
        <v>348</v>
      </c>
      <c r="H16" s="32" t="s">
        <v>349</v>
      </c>
      <c r="I16" s="32" t="s">
        <v>350</v>
      </c>
      <c r="J16" s="32"/>
      <c r="K16" s="35"/>
      <c r="L16" s="35"/>
      <c r="M16" s="32" t="s">
        <v>217</v>
      </c>
      <c r="N16" s="36" t="s">
        <v>106</v>
      </c>
      <c r="O16" s="36" t="s">
        <v>351</v>
      </c>
      <c r="P16" s="32"/>
      <c r="Q16" s="36" t="s">
        <v>352</v>
      </c>
      <c r="R16" s="36" t="s">
        <v>353</v>
      </c>
      <c r="S16" s="32"/>
      <c r="T16" s="32"/>
      <c r="U16" s="32"/>
      <c r="V16" s="32"/>
      <c r="W16" s="32" t="s">
        <v>354</v>
      </c>
      <c r="X16" s="32"/>
      <c r="Y16" s="32" t="s">
        <v>355</v>
      </c>
      <c r="Z16" s="32" t="s">
        <v>291</v>
      </c>
      <c r="AA16" s="37" t="s">
        <v>216</v>
      </c>
      <c r="AB16" s="37" t="s">
        <v>216</v>
      </c>
      <c r="AC16" s="38" t="s">
        <v>217</v>
      </c>
      <c r="AD16" s="37" t="s">
        <v>216</v>
      </c>
      <c r="AE16" s="37" t="s">
        <v>216</v>
      </c>
      <c r="AF16" s="38" t="s">
        <v>217</v>
      </c>
      <c r="AG16" s="38" t="s">
        <v>217</v>
      </c>
      <c r="AH16" s="38" t="s">
        <v>217</v>
      </c>
      <c r="AI16" s="38" t="s">
        <v>217</v>
      </c>
    </row>
    <row r="17" customFormat="false" ht="57.75" hidden="false" customHeight="true" outlineLevel="0" collapsed="false">
      <c r="A17" s="39" t="n">
        <v>16</v>
      </c>
      <c r="B17" s="40" t="s">
        <v>199</v>
      </c>
      <c r="C17" s="39" t="s">
        <v>200</v>
      </c>
      <c r="D17" s="39" t="s">
        <v>201</v>
      </c>
      <c r="E17" s="41" t="s">
        <v>356</v>
      </c>
      <c r="F17" s="39" t="s">
        <v>357</v>
      </c>
      <c r="G17" s="39" t="s">
        <v>358</v>
      </c>
      <c r="H17" s="39" t="s">
        <v>359</v>
      </c>
      <c r="I17" s="39" t="s">
        <v>360</v>
      </c>
      <c r="J17" s="39" t="s">
        <v>361</v>
      </c>
      <c r="K17" s="42" t="n">
        <v>3624</v>
      </c>
      <c r="L17" s="42" t="n">
        <v>3624</v>
      </c>
      <c r="M17" s="39" t="s">
        <v>217</v>
      </c>
      <c r="N17" s="39"/>
      <c r="O17" s="39"/>
      <c r="P17" s="39"/>
      <c r="Q17" s="36" t="s">
        <v>257</v>
      </c>
      <c r="R17" s="39"/>
      <c r="S17" s="39"/>
      <c r="T17" s="39"/>
      <c r="U17" s="36" t="s">
        <v>362</v>
      </c>
      <c r="V17" s="39"/>
      <c r="W17" s="39" t="s">
        <v>363</v>
      </c>
      <c r="X17" s="39"/>
      <c r="Y17" s="39" t="s">
        <v>355</v>
      </c>
      <c r="Z17" s="39" t="s">
        <v>364</v>
      </c>
      <c r="AA17" s="38" t="s">
        <v>217</v>
      </c>
      <c r="AB17" s="38" t="s">
        <v>217</v>
      </c>
      <c r="AC17" s="38" t="s">
        <v>217</v>
      </c>
      <c r="AD17" s="37" t="s">
        <v>216</v>
      </c>
      <c r="AE17" s="38" t="s">
        <v>217</v>
      </c>
      <c r="AF17" s="38" t="s">
        <v>217</v>
      </c>
      <c r="AG17" s="38" t="s">
        <v>217</v>
      </c>
      <c r="AH17" s="37" t="s">
        <v>216</v>
      </c>
      <c r="AI17" s="38" t="s">
        <v>217</v>
      </c>
    </row>
    <row r="18" customFormat="false" ht="57.75" hidden="false" customHeight="true" outlineLevel="0" collapsed="false">
      <c r="A18" s="32" t="n">
        <v>17</v>
      </c>
      <c r="B18" s="34" t="s">
        <v>199</v>
      </c>
      <c r="C18" s="32" t="s">
        <v>200</v>
      </c>
      <c r="D18" s="32" t="s">
        <v>201</v>
      </c>
      <c r="E18" s="31" t="s">
        <v>365</v>
      </c>
      <c r="F18" s="32" t="s">
        <v>366</v>
      </c>
      <c r="G18" s="32" t="s">
        <v>367</v>
      </c>
      <c r="H18" s="32" t="s">
        <v>339</v>
      </c>
      <c r="I18" s="32" t="s">
        <v>368</v>
      </c>
      <c r="J18" s="32"/>
      <c r="K18" s="35"/>
      <c r="L18" s="35"/>
      <c r="M18" s="32" t="s">
        <v>217</v>
      </c>
      <c r="N18" s="32"/>
      <c r="O18" s="36" t="s">
        <v>369</v>
      </c>
      <c r="P18" s="32"/>
      <c r="Q18" s="32"/>
      <c r="R18" s="36" t="s">
        <v>370</v>
      </c>
      <c r="S18" s="32"/>
      <c r="T18" s="32"/>
      <c r="U18" s="32"/>
      <c r="V18" s="32"/>
      <c r="W18" s="32" t="s">
        <v>371</v>
      </c>
      <c r="X18" s="32" t="s">
        <v>372</v>
      </c>
      <c r="Y18" s="32" t="s">
        <v>373</v>
      </c>
      <c r="Z18" s="32" t="s">
        <v>374</v>
      </c>
      <c r="AA18" s="38" t="s">
        <v>217</v>
      </c>
      <c r="AB18" s="37" t="s">
        <v>216</v>
      </c>
      <c r="AC18" s="38" t="s">
        <v>217</v>
      </c>
      <c r="AD18" s="38" t="s">
        <v>217</v>
      </c>
      <c r="AE18" s="37" t="s">
        <v>216</v>
      </c>
      <c r="AF18" s="38" t="s">
        <v>217</v>
      </c>
      <c r="AG18" s="38" t="s">
        <v>217</v>
      </c>
      <c r="AH18" s="38" t="s">
        <v>217</v>
      </c>
      <c r="AI18" s="38" t="s">
        <v>217</v>
      </c>
    </row>
    <row r="19" customFormat="false" ht="57.75" hidden="false" customHeight="true" outlineLevel="0" collapsed="false">
      <c r="A19" s="39" t="n">
        <v>18</v>
      </c>
      <c r="B19" s="40" t="s">
        <v>199</v>
      </c>
      <c r="C19" s="39" t="s">
        <v>200</v>
      </c>
      <c r="D19" s="39" t="s">
        <v>201</v>
      </c>
      <c r="E19" s="41" t="s">
        <v>375</v>
      </c>
      <c r="F19" s="39" t="s">
        <v>376</v>
      </c>
      <c r="G19" s="39" t="s">
        <v>377</v>
      </c>
      <c r="H19" s="39" t="s">
        <v>349</v>
      </c>
      <c r="I19" s="39" t="s">
        <v>378</v>
      </c>
      <c r="J19" s="39" t="s">
        <v>379</v>
      </c>
      <c r="K19" s="42" t="n">
        <v>3125</v>
      </c>
      <c r="L19" s="42" t="n">
        <v>4045</v>
      </c>
      <c r="M19" s="39" t="s">
        <v>217</v>
      </c>
      <c r="N19" s="39"/>
      <c r="O19" s="39"/>
      <c r="P19" s="39"/>
      <c r="Q19" s="39"/>
      <c r="R19" s="39"/>
      <c r="S19" s="39"/>
      <c r="T19" s="39"/>
      <c r="U19" s="39"/>
      <c r="V19" s="39"/>
      <c r="W19" s="39"/>
      <c r="X19" s="39"/>
      <c r="Y19" s="39" t="s">
        <v>380</v>
      </c>
      <c r="Z19" s="39" t="s">
        <v>381</v>
      </c>
      <c r="AA19" s="38" t="s">
        <v>217</v>
      </c>
      <c r="AB19" s="38" t="s">
        <v>217</v>
      </c>
      <c r="AC19" s="38" t="s">
        <v>217</v>
      </c>
      <c r="AD19" s="38" t="s">
        <v>217</v>
      </c>
      <c r="AE19" s="38" t="s">
        <v>217</v>
      </c>
      <c r="AF19" s="38" t="s">
        <v>217</v>
      </c>
      <c r="AG19" s="38" t="s">
        <v>217</v>
      </c>
      <c r="AH19" s="38" t="s">
        <v>217</v>
      </c>
      <c r="AI19" s="38" t="s">
        <v>217</v>
      </c>
    </row>
    <row r="20" customFormat="false" ht="57.75" hidden="false" customHeight="true" outlineLevel="0" collapsed="false">
      <c r="A20" s="32" t="n">
        <v>19</v>
      </c>
      <c r="B20" s="34" t="s">
        <v>199</v>
      </c>
      <c r="C20" s="32" t="s">
        <v>200</v>
      </c>
      <c r="D20" s="32" t="s">
        <v>201</v>
      </c>
      <c r="E20" s="31" t="s">
        <v>382</v>
      </c>
      <c r="F20" s="32" t="s">
        <v>383</v>
      </c>
      <c r="G20" s="32" t="s">
        <v>384</v>
      </c>
      <c r="H20" s="32" t="s">
        <v>385</v>
      </c>
      <c r="I20" s="32" t="s">
        <v>386</v>
      </c>
      <c r="J20" s="32"/>
      <c r="K20" s="35"/>
      <c r="L20" s="35"/>
      <c r="M20" s="32" t="s">
        <v>217</v>
      </c>
      <c r="N20" s="32"/>
      <c r="O20" s="32"/>
      <c r="P20" s="36" t="s">
        <v>387</v>
      </c>
      <c r="Q20" s="32"/>
      <c r="R20" s="32"/>
      <c r="S20" s="32"/>
      <c r="T20" s="32"/>
      <c r="U20" s="36" t="s">
        <v>388</v>
      </c>
      <c r="V20" s="32"/>
      <c r="W20" s="32" t="s">
        <v>389</v>
      </c>
      <c r="X20" s="32"/>
      <c r="Y20" s="32" t="s">
        <v>380</v>
      </c>
      <c r="Z20" s="32" t="s">
        <v>345</v>
      </c>
      <c r="AA20" s="38" t="s">
        <v>217</v>
      </c>
      <c r="AB20" s="38" t="s">
        <v>217</v>
      </c>
      <c r="AC20" s="37" t="s">
        <v>216</v>
      </c>
      <c r="AD20" s="38" t="s">
        <v>217</v>
      </c>
      <c r="AE20" s="38" t="s">
        <v>217</v>
      </c>
      <c r="AF20" s="38" t="s">
        <v>217</v>
      </c>
      <c r="AG20" s="38" t="s">
        <v>217</v>
      </c>
      <c r="AH20" s="37" t="s">
        <v>216</v>
      </c>
      <c r="AI20" s="38" t="s">
        <v>217</v>
      </c>
    </row>
    <row r="21" customFormat="false" ht="57.75" hidden="false" customHeight="true" outlineLevel="0" collapsed="false">
      <c r="A21" s="39" t="n">
        <v>20</v>
      </c>
      <c r="B21" s="40" t="s">
        <v>199</v>
      </c>
      <c r="C21" s="39" t="s">
        <v>200</v>
      </c>
      <c r="D21" s="39" t="s">
        <v>201</v>
      </c>
      <c r="E21" s="41" t="s">
        <v>390</v>
      </c>
      <c r="F21" s="39" t="s">
        <v>391</v>
      </c>
      <c r="G21" s="39" t="s">
        <v>392</v>
      </c>
      <c r="H21" s="39" t="s">
        <v>385</v>
      </c>
      <c r="I21" s="39" t="s">
        <v>393</v>
      </c>
      <c r="J21" s="39" t="s">
        <v>394</v>
      </c>
      <c r="K21" s="42" t="n">
        <v>4149</v>
      </c>
      <c r="L21" s="42" t="n">
        <v>4149</v>
      </c>
      <c r="M21" s="39" t="s">
        <v>217</v>
      </c>
      <c r="N21" s="39"/>
      <c r="O21" s="36" t="s">
        <v>395</v>
      </c>
      <c r="P21" s="39"/>
      <c r="Q21" s="39"/>
      <c r="R21" s="36" t="s">
        <v>396</v>
      </c>
      <c r="S21" s="39"/>
      <c r="T21" s="39"/>
      <c r="U21" s="36" t="s">
        <v>397</v>
      </c>
      <c r="V21" s="39"/>
      <c r="W21" s="39" t="s">
        <v>398</v>
      </c>
      <c r="X21" s="39"/>
      <c r="Y21" s="39" t="s">
        <v>380</v>
      </c>
      <c r="Z21" s="39"/>
      <c r="AA21" s="38" t="s">
        <v>217</v>
      </c>
      <c r="AB21" s="37" t="s">
        <v>216</v>
      </c>
      <c r="AC21" s="38" t="s">
        <v>217</v>
      </c>
      <c r="AD21" s="38" t="s">
        <v>217</v>
      </c>
      <c r="AE21" s="37" t="s">
        <v>216</v>
      </c>
      <c r="AF21" s="38" t="s">
        <v>217</v>
      </c>
      <c r="AG21" s="38" t="s">
        <v>217</v>
      </c>
      <c r="AH21" s="37" t="s">
        <v>216</v>
      </c>
      <c r="AI21" s="38" t="s">
        <v>217</v>
      </c>
    </row>
    <row r="22" customFormat="false" ht="57.75" hidden="false" customHeight="true" outlineLevel="0" collapsed="false">
      <c r="A22" s="32" t="n">
        <v>21</v>
      </c>
      <c r="B22" s="34" t="s">
        <v>199</v>
      </c>
      <c r="C22" s="32" t="s">
        <v>200</v>
      </c>
      <c r="D22" s="32" t="s">
        <v>201</v>
      </c>
      <c r="E22" s="31" t="s">
        <v>399</v>
      </c>
      <c r="F22" s="32" t="s">
        <v>400</v>
      </c>
      <c r="G22" s="32" t="s">
        <v>377</v>
      </c>
      <c r="H22" s="32" t="s">
        <v>205</v>
      </c>
      <c r="I22" s="32" t="s">
        <v>401</v>
      </c>
      <c r="J22" s="32"/>
      <c r="K22" s="35"/>
      <c r="L22" s="35"/>
      <c r="M22" s="32" t="s">
        <v>222</v>
      </c>
      <c r="N22" s="32"/>
      <c r="O22" s="36" t="s">
        <v>402</v>
      </c>
      <c r="P22" s="43" t="s">
        <v>403</v>
      </c>
      <c r="Q22" s="32"/>
      <c r="R22" s="36" t="s">
        <v>404</v>
      </c>
      <c r="S22" s="32"/>
      <c r="T22" s="32"/>
      <c r="U22" s="32"/>
      <c r="V22" s="32"/>
      <c r="W22" s="32" t="s">
        <v>405</v>
      </c>
      <c r="X22" s="32"/>
      <c r="Y22" s="32" t="s">
        <v>380</v>
      </c>
      <c r="Z22" s="32" t="s">
        <v>406</v>
      </c>
      <c r="AA22" s="38" t="s">
        <v>217</v>
      </c>
      <c r="AB22" s="37" t="s">
        <v>216</v>
      </c>
      <c r="AC22" s="44" t="s">
        <v>335</v>
      </c>
      <c r="AD22" s="38" t="s">
        <v>217</v>
      </c>
      <c r="AE22" s="37" t="s">
        <v>216</v>
      </c>
      <c r="AF22" s="38" t="s">
        <v>217</v>
      </c>
      <c r="AG22" s="38" t="s">
        <v>217</v>
      </c>
      <c r="AH22" s="38" t="s">
        <v>217</v>
      </c>
      <c r="AI22" s="38" t="s">
        <v>217</v>
      </c>
    </row>
    <row r="23" customFormat="false" ht="57.75" hidden="false" customHeight="true" outlineLevel="0" collapsed="false">
      <c r="A23" s="39" t="n">
        <v>22</v>
      </c>
      <c r="B23" s="40" t="s">
        <v>199</v>
      </c>
      <c r="C23" s="39" t="s">
        <v>200</v>
      </c>
      <c r="D23" s="39" t="s">
        <v>201</v>
      </c>
      <c r="E23" s="41" t="s">
        <v>407</v>
      </c>
      <c r="F23" s="39" t="s">
        <v>400</v>
      </c>
      <c r="G23" s="39" t="s">
        <v>377</v>
      </c>
      <c r="H23" s="39" t="s">
        <v>205</v>
      </c>
      <c r="I23" s="39" t="s">
        <v>408</v>
      </c>
      <c r="J23" s="39"/>
      <c r="K23" s="42"/>
      <c r="L23" s="42"/>
      <c r="M23" s="39" t="s">
        <v>222</v>
      </c>
      <c r="N23" s="39"/>
      <c r="O23" s="36" t="s">
        <v>409</v>
      </c>
      <c r="P23" s="39"/>
      <c r="Q23" s="39"/>
      <c r="R23" s="36" t="s">
        <v>410</v>
      </c>
      <c r="S23" s="39"/>
      <c r="T23" s="39"/>
      <c r="U23" s="39"/>
      <c r="V23" s="39"/>
      <c r="W23" s="39" t="s">
        <v>411</v>
      </c>
      <c r="X23" s="39"/>
      <c r="Y23" s="39" t="s">
        <v>380</v>
      </c>
      <c r="Z23" s="39" t="s">
        <v>273</v>
      </c>
      <c r="AA23" s="38" t="s">
        <v>217</v>
      </c>
      <c r="AB23" s="37" t="s">
        <v>216</v>
      </c>
      <c r="AC23" s="38" t="s">
        <v>217</v>
      </c>
      <c r="AD23" s="38" t="s">
        <v>217</v>
      </c>
      <c r="AE23" s="37" t="s">
        <v>216</v>
      </c>
      <c r="AF23" s="38" t="s">
        <v>217</v>
      </c>
      <c r="AG23" s="38" t="s">
        <v>217</v>
      </c>
      <c r="AH23" s="38" t="s">
        <v>217</v>
      </c>
      <c r="AI23" s="38" t="s">
        <v>217</v>
      </c>
    </row>
    <row r="24" customFormat="false" ht="57.75" hidden="false" customHeight="true" outlineLevel="0" collapsed="false">
      <c r="A24" s="32" t="n">
        <v>23</v>
      </c>
      <c r="B24" s="34" t="s">
        <v>199</v>
      </c>
      <c r="C24" s="32" t="s">
        <v>200</v>
      </c>
      <c r="D24" s="32" t="s">
        <v>201</v>
      </c>
      <c r="E24" s="31" t="s">
        <v>412</v>
      </c>
      <c r="F24" s="32" t="s">
        <v>413</v>
      </c>
      <c r="G24" s="32" t="s">
        <v>414</v>
      </c>
      <c r="H24" s="32" t="s">
        <v>205</v>
      </c>
      <c r="I24" s="32" t="s">
        <v>415</v>
      </c>
      <c r="J24" s="32"/>
      <c r="K24" s="35"/>
      <c r="L24" s="35"/>
      <c r="M24" s="32" t="s">
        <v>222</v>
      </c>
      <c r="N24" s="32"/>
      <c r="O24" s="36" t="s">
        <v>416</v>
      </c>
      <c r="P24" s="32"/>
      <c r="Q24" s="32"/>
      <c r="R24" s="36" t="s">
        <v>417</v>
      </c>
      <c r="S24" s="36" t="s">
        <v>322</v>
      </c>
      <c r="T24" s="32"/>
      <c r="U24" s="32"/>
      <c r="V24" s="32"/>
      <c r="W24" s="32" t="s">
        <v>418</v>
      </c>
      <c r="X24" s="32"/>
      <c r="Y24" s="32" t="s">
        <v>380</v>
      </c>
      <c r="Z24" s="32" t="s">
        <v>419</v>
      </c>
      <c r="AA24" s="38" t="s">
        <v>217</v>
      </c>
      <c r="AB24" s="37" t="s">
        <v>216</v>
      </c>
      <c r="AC24" s="38" t="s">
        <v>217</v>
      </c>
      <c r="AD24" s="38" t="s">
        <v>217</v>
      </c>
      <c r="AE24" s="37" t="s">
        <v>216</v>
      </c>
      <c r="AF24" s="37" t="s">
        <v>216</v>
      </c>
      <c r="AG24" s="38" t="s">
        <v>217</v>
      </c>
      <c r="AH24" s="38" t="s">
        <v>217</v>
      </c>
      <c r="AI24" s="38" t="s">
        <v>217</v>
      </c>
    </row>
    <row r="25" customFormat="false" ht="57.75" hidden="false" customHeight="true" outlineLevel="0" collapsed="false">
      <c r="A25" s="39" t="n">
        <v>24</v>
      </c>
      <c r="B25" s="40" t="s">
        <v>199</v>
      </c>
      <c r="C25" s="39" t="s">
        <v>200</v>
      </c>
      <c r="D25" s="39" t="s">
        <v>201</v>
      </c>
      <c r="E25" s="41" t="s">
        <v>420</v>
      </c>
      <c r="F25" s="39" t="s">
        <v>391</v>
      </c>
      <c r="G25" s="39" t="s">
        <v>421</v>
      </c>
      <c r="H25" s="39" t="s">
        <v>385</v>
      </c>
      <c r="I25" s="39" t="s">
        <v>422</v>
      </c>
      <c r="J25" s="39" t="s">
        <v>423</v>
      </c>
      <c r="K25" s="42" t="n">
        <v>5219</v>
      </c>
      <c r="L25" s="42" t="n">
        <v>5219</v>
      </c>
      <c r="M25" s="39" t="s">
        <v>217</v>
      </c>
      <c r="N25" s="39"/>
      <c r="O25" s="36" t="s">
        <v>395</v>
      </c>
      <c r="P25" s="39"/>
      <c r="Q25" s="39"/>
      <c r="R25" s="36" t="s">
        <v>396</v>
      </c>
      <c r="S25" s="39"/>
      <c r="T25" s="39"/>
      <c r="U25" s="36" t="s">
        <v>397</v>
      </c>
      <c r="V25" s="39"/>
      <c r="W25" s="39" t="s">
        <v>424</v>
      </c>
      <c r="X25" s="39"/>
      <c r="Y25" s="39" t="s">
        <v>380</v>
      </c>
      <c r="Z25" s="39"/>
      <c r="AA25" s="38" t="s">
        <v>217</v>
      </c>
      <c r="AB25" s="37" t="s">
        <v>216</v>
      </c>
      <c r="AC25" s="38" t="s">
        <v>217</v>
      </c>
      <c r="AD25" s="38" t="s">
        <v>217</v>
      </c>
      <c r="AE25" s="37" t="s">
        <v>216</v>
      </c>
      <c r="AF25" s="38" t="s">
        <v>217</v>
      </c>
      <c r="AG25" s="38" t="s">
        <v>217</v>
      </c>
      <c r="AH25" s="37" t="s">
        <v>216</v>
      </c>
      <c r="AI25" s="38" t="s">
        <v>217</v>
      </c>
    </row>
    <row r="26" customFormat="false" ht="57.75" hidden="false" customHeight="true" outlineLevel="0" collapsed="false">
      <c r="A26" s="32" t="n">
        <v>25</v>
      </c>
      <c r="B26" s="34" t="s">
        <v>199</v>
      </c>
      <c r="C26" s="32" t="s">
        <v>200</v>
      </c>
      <c r="D26" s="32" t="s">
        <v>201</v>
      </c>
      <c r="E26" s="31" t="s">
        <v>425</v>
      </c>
      <c r="F26" s="32" t="s">
        <v>366</v>
      </c>
      <c r="G26" s="32" t="s">
        <v>426</v>
      </c>
      <c r="H26" s="32" t="s">
        <v>349</v>
      </c>
      <c r="I26" s="32" t="s">
        <v>427</v>
      </c>
      <c r="J26" s="32"/>
      <c r="K26" s="35"/>
      <c r="L26" s="35"/>
      <c r="M26" s="32" t="s">
        <v>217</v>
      </c>
      <c r="N26" s="32"/>
      <c r="O26" s="36" t="s">
        <v>369</v>
      </c>
      <c r="P26" s="32"/>
      <c r="Q26" s="32"/>
      <c r="R26" s="36" t="s">
        <v>370</v>
      </c>
      <c r="S26" s="32"/>
      <c r="T26" s="32"/>
      <c r="U26" s="32"/>
      <c r="V26" s="32"/>
      <c r="W26" s="32" t="s">
        <v>371</v>
      </c>
      <c r="X26" s="32" t="s">
        <v>372</v>
      </c>
      <c r="Y26" s="32" t="s">
        <v>373</v>
      </c>
      <c r="Z26" s="32" t="s">
        <v>345</v>
      </c>
      <c r="AA26" s="38" t="s">
        <v>217</v>
      </c>
      <c r="AB26" s="37" t="s">
        <v>216</v>
      </c>
      <c r="AC26" s="38" t="s">
        <v>217</v>
      </c>
      <c r="AD26" s="38" t="s">
        <v>217</v>
      </c>
      <c r="AE26" s="37" t="s">
        <v>216</v>
      </c>
      <c r="AF26" s="38" t="s">
        <v>217</v>
      </c>
      <c r="AG26" s="38" t="s">
        <v>217</v>
      </c>
      <c r="AH26" s="38" t="s">
        <v>217</v>
      </c>
      <c r="AI26" s="38" t="s">
        <v>217</v>
      </c>
    </row>
    <row r="27" customFormat="false" ht="57.75" hidden="false" customHeight="true" outlineLevel="0" collapsed="false">
      <c r="A27" s="39" t="n">
        <v>26</v>
      </c>
      <c r="B27" s="40" t="s">
        <v>199</v>
      </c>
      <c r="C27" s="39" t="s">
        <v>200</v>
      </c>
      <c r="D27" s="39" t="s">
        <v>201</v>
      </c>
      <c r="E27" s="41" t="s">
        <v>428</v>
      </c>
      <c r="F27" s="39" t="s">
        <v>429</v>
      </c>
      <c r="G27" s="39" t="s">
        <v>430</v>
      </c>
      <c r="H27" s="39" t="s">
        <v>205</v>
      </c>
      <c r="I27" s="39" t="s">
        <v>431</v>
      </c>
      <c r="J27" s="39"/>
      <c r="K27" s="42"/>
      <c r="L27" s="42"/>
      <c r="M27" s="39" t="s">
        <v>222</v>
      </c>
      <c r="N27" s="39"/>
      <c r="O27" s="36" t="s">
        <v>432</v>
      </c>
      <c r="P27" s="36" t="s">
        <v>433</v>
      </c>
      <c r="Q27" s="39"/>
      <c r="R27" s="36" t="s">
        <v>434</v>
      </c>
      <c r="S27" s="39"/>
      <c r="T27" s="39"/>
      <c r="U27" s="36" t="s">
        <v>435</v>
      </c>
      <c r="V27" s="39"/>
      <c r="W27" s="39" t="s">
        <v>343</v>
      </c>
      <c r="X27" s="39"/>
      <c r="Y27" s="39" t="s">
        <v>373</v>
      </c>
      <c r="Z27" s="39" t="s">
        <v>436</v>
      </c>
      <c r="AA27" s="38" t="s">
        <v>217</v>
      </c>
      <c r="AB27" s="37" t="s">
        <v>216</v>
      </c>
      <c r="AC27" s="37" t="s">
        <v>216</v>
      </c>
      <c r="AD27" s="38" t="s">
        <v>217</v>
      </c>
      <c r="AE27" s="37" t="s">
        <v>216</v>
      </c>
      <c r="AF27" s="38" t="s">
        <v>217</v>
      </c>
      <c r="AG27" s="38" t="s">
        <v>217</v>
      </c>
      <c r="AH27" s="37" t="s">
        <v>216</v>
      </c>
      <c r="AI27" s="38" t="s">
        <v>217</v>
      </c>
    </row>
    <row r="28" customFormat="false" ht="57.75" hidden="false" customHeight="true" outlineLevel="0" collapsed="false">
      <c r="A28" s="32" t="n">
        <v>27</v>
      </c>
      <c r="B28" s="34" t="s">
        <v>199</v>
      </c>
      <c r="C28" s="32" t="s">
        <v>200</v>
      </c>
      <c r="D28" s="32" t="s">
        <v>201</v>
      </c>
      <c r="E28" s="31" t="s">
        <v>437</v>
      </c>
      <c r="F28" s="32" t="s">
        <v>438</v>
      </c>
      <c r="G28" s="32" t="s">
        <v>439</v>
      </c>
      <c r="H28" s="32" t="s">
        <v>339</v>
      </c>
      <c r="I28" s="32" t="s">
        <v>440</v>
      </c>
      <c r="J28" s="32"/>
      <c r="K28" s="35"/>
      <c r="L28" s="35"/>
      <c r="M28" s="32" t="s">
        <v>217</v>
      </c>
      <c r="N28" s="32"/>
      <c r="O28" s="32"/>
      <c r="P28" s="32"/>
      <c r="Q28" s="36" t="s">
        <v>341</v>
      </c>
      <c r="R28" s="32"/>
      <c r="S28" s="32"/>
      <c r="T28" s="36" t="s">
        <v>341</v>
      </c>
      <c r="U28" s="32"/>
      <c r="V28" s="36" t="s">
        <v>441</v>
      </c>
      <c r="W28" s="32" t="s">
        <v>343</v>
      </c>
      <c r="X28" s="32"/>
      <c r="Y28" s="32" t="s">
        <v>442</v>
      </c>
      <c r="Z28" s="32" t="s">
        <v>443</v>
      </c>
      <c r="AA28" s="38" t="s">
        <v>217</v>
      </c>
      <c r="AB28" s="38" t="s">
        <v>217</v>
      </c>
      <c r="AC28" s="38" t="s">
        <v>217</v>
      </c>
      <c r="AD28" s="37" t="s">
        <v>216</v>
      </c>
      <c r="AE28" s="38" t="s">
        <v>217</v>
      </c>
      <c r="AF28" s="38" t="s">
        <v>217</v>
      </c>
      <c r="AG28" s="37" t="s">
        <v>216</v>
      </c>
      <c r="AH28" s="38" t="s">
        <v>217</v>
      </c>
      <c r="AI28" s="37" t="s">
        <v>216</v>
      </c>
    </row>
    <row r="29" customFormat="false" ht="57.75" hidden="false" customHeight="true" outlineLevel="0" collapsed="false">
      <c r="A29" s="39" t="n">
        <v>28</v>
      </c>
      <c r="B29" s="40" t="s">
        <v>199</v>
      </c>
      <c r="C29" s="39" t="s">
        <v>200</v>
      </c>
      <c r="D29" s="39" t="s">
        <v>201</v>
      </c>
      <c r="E29" s="41" t="s">
        <v>444</v>
      </c>
      <c r="F29" s="39" t="s">
        <v>445</v>
      </c>
      <c r="G29" s="39" t="s">
        <v>446</v>
      </c>
      <c r="H29" s="39" t="s">
        <v>349</v>
      </c>
      <c r="I29" s="39" t="s">
        <v>447</v>
      </c>
      <c r="J29" s="39"/>
      <c r="K29" s="42"/>
      <c r="L29" s="42"/>
      <c r="M29" s="39" t="s">
        <v>217</v>
      </c>
      <c r="N29" s="39"/>
      <c r="O29" s="36" t="s">
        <v>448</v>
      </c>
      <c r="P29" s="39"/>
      <c r="Q29" s="39"/>
      <c r="R29" s="36" t="s">
        <v>449</v>
      </c>
      <c r="S29" s="36" t="s">
        <v>450</v>
      </c>
      <c r="T29" s="39"/>
      <c r="U29" s="36" t="s">
        <v>451</v>
      </c>
      <c r="V29" s="39"/>
      <c r="W29" s="39" t="s">
        <v>452</v>
      </c>
      <c r="X29" s="39"/>
      <c r="Y29" s="39" t="s">
        <v>453</v>
      </c>
      <c r="Z29" s="39"/>
      <c r="AA29" s="38" t="s">
        <v>217</v>
      </c>
      <c r="AB29" s="37" t="s">
        <v>216</v>
      </c>
      <c r="AC29" s="38" t="s">
        <v>217</v>
      </c>
      <c r="AD29" s="38" t="s">
        <v>217</v>
      </c>
      <c r="AE29" s="37" t="s">
        <v>216</v>
      </c>
      <c r="AF29" s="37" t="s">
        <v>216</v>
      </c>
      <c r="AG29" s="38" t="s">
        <v>217</v>
      </c>
      <c r="AH29" s="37" t="s">
        <v>216</v>
      </c>
      <c r="AI29" s="38" t="s">
        <v>217</v>
      </c>
    </row>
    <row r="30" customFormat="false" ht="57.75" hidden="false" customHeight="true" outlineLevel="0" collapsed="false">
      <c r="A30" s="32" t="n">
        <v>29</v>
      </c>
      <c r="B30" s="34" t="s">
        <v>199</v>
      </c>
      <c r="C30" s="32" t="s">
        <v>200</v>
      </c>
      <c r="D30" s="32" t="s">
        <v>201</v>
      </c>
      <c r="E30" s="31" t="s">
        <v>454</v>
      </c>
      <c r="F30" s="32" t="s">
        <v>455</v>
      </c>
      <c r="G30" s="32" t="s">
        <v>456</v>
      </c>
      <c r="H30" s="32" t="s">
        <v>349</v>
      </c>
      <c r="I30" s="32" t="s">
        <v>457</v>
      </c>
      <c r="J30" s="32"/>
      <c r="K30" s="35"/>
      <c r="L30" s="35"/>
      <c r="M30" s="32" t="s">
        <v>217</v>
      </c>
      <c r="N30" s="36" t="s">
        <v>106</v>
      </c>
      <c r="O30" s="36" t="s">
        <v>458</v>
      </c>
      <c r="P30" s="36" t="s">
        <v>459</v>
      </c>
      <c r="Q30" s="32"/>
      <c r="R30" s="36" t="s">
        <v>460</v>
      </c>
      <c r="S30" s="32"/>
      <c r="T30" s="32"/>
      <c r="U30" s="36" t="s">
        <v>461</v>
      </c>
      <c r="V30" s="32"/>
      <c r="W30" s="32" t="s">
        <v>462</v>
      </c>
      <c r="X30" s="32"/>
      <c r="Y30" s="32" t="s">
        <v>453</v>
      </c>
      <c r="Z30" s="32" t="s">
        <v>463</v>
      </c>
      <c r="AA30" s="37" t="s">
        <v>216</v>
      </c>
      <c r="AB30" s="37" t="s">
        <v>216</v>
      </c>
      <c r="AC30" s="37" t="s">
        <v>216</v>
      </c>
      <c r="AD30" s="38" t="s">
        <v>217</v>
      </c>
      <c r="AE30" s="37" t="s">
        <v>216</v>
      </c>
      <c r="AF30" s="38" t="s">
        <v>217</v>
      </c>
      <c r="AG30" s="38" t="s">
        <v>217</v>
      </c>
      <c r="AH30" s="37" t="s">
        <v>216</v>
      </c>
      <c r="AI30" s="38" t="s">
        <v>217</v>
      </c>
    </row>
    <row r="31" customFormat="false" ht="57.75" hidden="false" customHeight="true" outlineLevel="0" collapsed="false">
      <c r="A31" s="39" t="n">
        <v>30</v>
      </c>
      <c r="B31" s="40" t="s">
        <v>199</v>
      </c>
      <c r="C31" s="39" t="s">
        <v>200</v>
      </c>
      <c r="D31" s="39" t="s">
        <v>201</v>
      </c>
      <c r="E31" s="41" t="s">
        <v>464</v>
      </c>
      <c r="F31" s="39" t="s">
        <v>465</v>
      </c>
      <c r="G31" s="39" t="s">
        <v>466</v>
      </c>
      <c r="H31" s="39" t="s">
        <v>205</v>
      </c>
      <c r="I31" s="39" t="s">
        <v>467</v>
      </c>
      <c r="J31" s="39"/>
      <c r="K31" s="42"/>
      <c r="L31" s="42"/>
      <c r="M31" s="39" t="s">
        <v>222</v>
      </c>
      <c r="N31" s="39"/>
      <c r="O31" s="36" t="s">
        <v>468</v>
      </c>
      <c r="P31" s="39"/>
      <c r="Q31" s="39"/>
      <c r="R31" s="36" t="s">
        <v>469</v>
      </c>
      <c r="S31" s="39"/>
      <c r="T31" s="39"/>
      <c r="U31" s="36" t="s">
        <v>470</v>
      </c>
      <c r="V31" s="39"/>
      <c r="W31" s="39" t="s">
        <v>471</v>
      </c>
      <c r="X31" s="39"/>
      <c r="Y31" s="39" t="s">
        <v>472</v>
      </c>
      <c r="Z31" s="39" t="s">
        <v>419</v>
      </c>
      <c r="AA31" s="38" t="s">
        <v>217</v>
      </c>
      <c r="AB31" s="37" t="s">
        <v>216</v>
      </c>
      <c r="AC31" s="38" t="s">
        <v>217</v>
      </c>
      <c r="AD31" s="38" t="s">
        <v>217</v>
      </c>
      <c r="AE31" s="37" t="s">
        <v>216</v>
      </c>
      <c r="AF31" s="38" t="s">
        <v>217</v>
      </c>
      <c r="AG31" s="38" t="s">
        <v>217</v>
      </c>
      <c r="AH31" s="37" t="s">
        <v>216</v>
      </c>
      <c r="AI31" s="38" t="s">
        <v>217</v>
      </c>
    </row>
    <row r="32" customFormat="false" ht="57.75" hidden="false" customHeight="true" outlineLevel="0" collapsed="false">
      <c r="A32" s="32" t="n">
        <v>31</v>
      </c>
      <c r="B32" s="34" t="s">
        <v>199</v>
      </c>
      <c r="C32" s="32" t="s">
        <v>200</v>
      </c>
      <c r="D32" s="32" t="s">
        <v>201</v>
      </c>
      <c r="E32" s="31" t="s">
        <v>473</v>
      </c>
      <c r="F32" s="32" t="s">
        <v>474</v>
      </c>
      <c r="G32" s="32" t="s">
        <v>466</v>
      </c>
      <c r="H32" s="32" t="s">
        <v>349</v>
      </c>
      <c r="I32" s="32" t="s">
        <v>475</v>
      </c>
      <c r="J32" s="32"/>
      <c r="K32" s="35"/>
      <c r="L32" s="35"/>
      <c r="M32" s="32" t="s">
        <v>217</v>
      </c>
      <c r="N32" s="32"/>
      <c r="O32" s="36" t="s">
        <v>476</v>
      </c>
      <c r="P32" s="32"/>
      <c r="Q32" s="32"/>
      <c r="R32" s="36" t="s">
        <v>477</v>
      </c>
      <c r="S32" s="36" t="s">
        <v>478</v>
      </c>
      <c r="T32" s="32"/>
      <c r="U32" s="36" t="s">
        <v>479</v>
      </c>
      <c r="V32" s="32"/>
      <c r="W32" s="32" t="s">
        <v>480</v>
      </c>
      <c r="X32" s="32"/>
      <c r="Y32" s="32" t="s">
        <v>472</v>
      </c>
      <c r="Z32" s="32" t="s">
        <v>443</v>
      </c>
      <c r="AA32" s="38" t="s">
        <v>217</v>
      </c>
      <c r="AB32" s="37" t="s">
        <v>216</v>
      </c>
      <c r="AC32" s="38" t="s">
        <v>217</v>
      </c>
      <c r="AD32" s="38" t="s">
        <v>217</v>
      </c>
      <c r="AE32" s="37" t="s">
        <v>216</v>
      </c>
      <c r="AF32" s="37" t="s">
        <v>216</v>
      </c>
      <c r="AG32" s="38" t="s">
        <v>217</v>
      </c>
      <c r="AH32" s="37" t="s">
        <v>216</v>
      </c>
      <c r="AI32" s="38" t="s">
        <v>217</v>
      </c>
    </row>
    <row r="33" customFormat="false" ht="57.75" hidden="false" customHeight="true" outlineLevel="0" collapsed="false">
      <c r="A33" s="39" t="n">
        <v>32</v>
      </c>
      <c r="B33" s="40" t="s">
        <v>199</v>
      </c>
      <c r="C33" s="39" t="s">
        <v>200</v>
      </c>
      <c r="D33" s="39" t="s">
        <v>201</v>
      </c>
      <c r="E33" s="41" t="s">
        <v>481</v>
      </c>
      <c r="F33" s="39" t="s">
        <v>482</v>
      </c>
      <c r="G33" s="39" t="s">
        <v>483</v>
      </c>
      <c r="H33" s="39" t="s">
        <v>205</v>
      </c>
      <c r="I33" s="39" t="s">
        <v>484</v>
      </c>
      <c r="J33" s="39"/>
      <c r="K33" s="42"/>
      <c r="L33" s="42"/>
      <c r="M33" s="39" t="s">
        <v>222</v>
      </c>
      <c r="N33" s="36" t="s">
        <v>106</v>
      </c>
      <c r="O33" s="36" t="s">
        <v>485</v>
      </c>
      <c r="P33" s="39"/>
      <c r="Q33" s="39"/>
      <c r="R33" s="36" t="s">
        <v>486</v>
      </c>
      <c r="S33" s="39"/>
      <c r="T33" s="39"/>
      <c r="U33" s="36" t="s">
        <v>487</v>
      </c>
      <c r="V33" s="39"/>
      <c r="W33" s="39" t="s">
        <v>488</v>
      </c>
      <c r="X33" s="39"/>
      <c r="Y33" s="39" t="s">
        <v>489</v>
      </c>
      <c r="Z33" s="39" t="s">
        <v>490</v>
      </c>
      <c r="AA33" s="37" t="s">
        <v>216</v>
      </c>
      <c r="AB33" s="37" t="s">
        <v>216</v>
      </c>
      <c r="AC33" s="38" t="s">
        <v>217</v>
      </c>
      <c r="AD33" s="38" t="s">
        <v>217</v>
      </c>
      <c r="AE33" s="37" t="s">
        <v>216</v>
      </c>
      <c r="AF33" s="38" t="s">
        <v>217</v>
      </c>
      <c r="AG33" s="38" t="s">
        <v>217</v>
      </c>
      <c r="AH33" s="37" t="s">
        <v>216</v>
      </c>
      <c r="AI33" s="38" t="s">
        <v>217</v>
      </c>
    </row>
    <row r="34" customFormat="false" ht="57.75" hidden="false" customHeight="true" outlineLevel="0" collapsed="false">
      <c r="A34" s="32" t="n">
        <v>33</v>
      </c>
      <c r="B34" s="34" t="s">
        <v>199</v>
      </c>
      <c r="C34" s="32" t="s">
        <v>200</v>
      </c>
      <c r="D34" s="32" t="s">
        <v>201</v>
      </c>
      <c r="E34" s="31" t="s">
        <v>491</v>
      </c>
      <c r="F34" s="32" t="s">
        <v>492</v>
      </c>
      <c r="G34" s="32" t="s">
        <v>493</v>
      </c>
      <c r="H34" s="32" t="s">
        <v>385</v>
      </c>
      <c r="I34" s="32" t="s">
        <v>494</v>
      </c>
      <c r="J34" s="32" t="s">
        <v>495</v>
      </c>
      <c r="K34" s="35" t="n">
        <v>3239</v>
      </c>
      <c r="L34" s="35" t="n">
        <v>3239</v>
      </c>
      <c r="M34" s="32" t="s">
        <v>217</v>
      </c>
      <c r="N34" s="32"/>
      <c r="O34" s="36" t="s">
        <v>496</v>
      </c>
      <c r="P34" s="32"/>
      <c r="Q34" s="32"/>
      <c r="R34" s="36" t="s">
        <v>497</v>
      </c>
      <c r="S34" s="32"/>
      <c r="T34" s="32"/>
      <c r="U34" s="32"/>
      <c r="V34" s="32"/>
      <c r="W34" s="32"/>
      <c r="X34" s="32"/>
      <c r="Y34" s="32" t="s">
        <v>498</v>
      </c>
      <c r="Z34" s="32"/>
      <c r="AA34" s="38" t="s">
        <v>217</v>
      </c>
      <c r="AB34" s="37" t="s">
        <v>216</v>
      </c>
      <c r="AC34" s="38" t="s">
        <v>217</v>
      </c>
      <c r="AD34" s="38" t="s">
        <v>217</v>
      </c>
      <c r="AE34" s="37" t="s">
        <v>216</v>
      </c>
      <c r="AF34" s="38" t="s">
        <v>217</v>
      </c>
      <c r="AG34" s="38" t="s">
        <v>217</v>
      </c>
      <c r="AH34" s="38" t="s">
        <v>217</v>
      </c>
      <c r="AI34" s="38" t="s">
        <v>217</v>
      </c>
    </row>
    <row r="35" customFormat="false" ht="57.75" hidden="false" customHeight="true" outlineLevel="0" collapsed="false">
      <c r="A35" s="39" t="n">
        <v>34</v>
      </c>
      <c r="B35" s="40" t="s">
        <v>199</v>
      </c>
      <c r="C35" s="39" t="s">
        <v>200</v>
      </c>
      <c r="D35" s="39" t="s">
        <v>201</v>
      </c>
      <c r="E35" s="41" t="s">
        <v>499</v>
      </c>
      <c r="F35" s="39" t="s">
        <v>500</v>
      </c>
      <c r="G35" s="39" t="s">
        <v>493</v>
      </c>
      <c r="H35" s="39" t="s">
        <v>205</v>
      </c>
      <c r="I35" s="39" t="s">
        <v>501</v>
      </c>
      <c r="J35" s="39"/>
      <c r="K35" s="42"/>
      <c r="L35" s="42"/>
      <c r="M35" s="39" t="s">
        <v>222</v>
      </c>
      <c r="N35" s="39"/>
      <c r="O35" s="36" t="s">
        <v>502</v>
      </c>
      <c r="P35" s="39"/>
      <c r="Q35" s="39"/>
      <c r="R35" s="36" t="s">
        <v>503</v>
      </c>
      <c r="S35" s="39"/>
      <c r="T35" s="36" t="s">
        <v>504</v>
      </c>
      <c r="U35" s="39"/>
      <c r="V35" s="39"/>
      <c r="W35" s="39"/>
      <c r="X35" s="39"/>
      <c r="Y35" s="39" t="s">
        <v>498</v>
      </c>
      <c r="Z35" s="39" t="s">
        <v>505</v>
      </c>
      <c r="AA35" s="38" t="s">
        <v>217</v>
      </c>
      <c r="AB35" s="37" t="s">
        <v>216</v>
      </c>
      <c r="AC35" s="38" t="s">
        <v>217</v>
      </c>
      <c r="AD35" s="38" t="s">
        <v>217</v>
      </c>
      <c r="AE35" s="37" t="s">
        <v>216</v>
      </c>
      <c r="AF35" s="38" t="s">
        <v>217</v>
      </c>
      <c r="AG35" s="37" t="s">
        <v>216</v>
      </c>
      <c r="AH35" s="38" t="s">
        <v>217</v>
      </c>
      <c r="AI35" s="38" t="s">
        <v>217</v>
      </c>
    </row>
    <row r="36" customFormat="false" ht="57.75" hidden="false" customHeight="true" outlineLevel="0" collapsed="false">
      <c r="A36" s="32" t="n">
        <v>35</v>
      </c>
      <c r="B36" s="34" t="s">
        <v>199</v>
      </c>
      <c r="C36" s="32" t="s">
        <v>200</v>
      </c>
      <c r="D36" s="32" t="s">
        <v>201</v>
      </c>
      <c r="E36" s="31" t="s">
        <v>506</v>
      </c>
      <c r="F36" s="32" t="s">
        <v>506</v>
      </c>
      <c r="G36" s="32" t="s">
        <v>507</v>
      </c>
      <c r="H36" s="32" t="s">
        <v>205</v>
      </c>
      <c r="I36" s="32" t="s">
        <v>508</v>
      </c>
      <c r="J36" s="32"/>
      <c r="K36" s="35"/>
      <c r="L36" s="35"/>
      <c r="M36" s="32" t="s">
        <v>222</v>
      </c>
      <c r="N36" s="32"/>
      <c r="O36" s="36" t="s">
        <v>509</v>
      </c>
      <c r="P36" s="36" t="s">
        <v>510</v>
      </c>
      <c r="Q36" s="36" t="s">
        <v>511</v>
      </c>
      <c r="R36" s="32"/>
      <c r="S36" s="32"/>
      <c r="T36" s="32"/>
      <c r="U36" s="32"/>
      <c r="V36" s="32"/>
      <c r="W36" s="32" t="s">
        <v>512</v>
      </c>
      <c r="X36" s="32"/>
      <c r="Y36" s="32" t="s">
        <v>498</v>
      </c>
      <c r="Z36" s="32"/>
      <c r="AA36" s="38" t="s">
        <v>217</v>
      </c>
      <c r="AB36" s="37" t="s">
        <v>216</v>
      </c>
      <c r="AC36" s="37" t="s">
        <v>216</v>
      </c>
      <c r="AD36" s="37" t="s">
        <v>216</v>
      </c>
      <c r="AE36" s="38" t="s">
        <v>217</v>
      </c>
      <c r="AF36" s="38" t="s">
        <v>217</v>
      </c>
      <c r="AG36" s="38" t="s">
        <v>217</v>
      </c>
      <c r="AH36" s="38" t="s">
        <v>217</v>
      </c>
      <c r="AI36" s="38" t="s">
        <v>217</v>
      </c>
    </row>
    <row r="37" customFormat="false" ht="57.75" hidden="false" customHeight="true" outlineLevel="0" collapsed="false">
      <c r="A37" s="39" t="n">
        <v>36</v>
      </c>
      <c r="B37" s="40" t="s">
        <v>199</v>
      </c>
      <c r="C37" s="39" t="s">
        <v>200</v>
      </c>
      <c r="D37" s="39" t="s">
        <v>201</v>
      </c>
      <c r="E37" s="41" t="s">
        <v>513</v>
      </c>
      <c r="F37" s="39" t="s">
        <v>506</v>
      </c>
      <c r="G37" s="39" t="s">
        <v>507</v>
      </c>
      <c r="H37" s="39" t="s">
        <v>385</v>
      </c>
      <c r="I37" s="39" t="s">
        <v>514</v>
      </c>
      <c r="J37" s="39"/>
      <c r="K37" s="42"/>
      <c r="L37" s="42"/>
      <c r="M37" s="39" t="s">
        <v>217</v>
      </c>
      <c r="N37" s="39"/>
      <c r="O37" s="36" t="s">
        <v>515</v>
      </c>
      <c r="P37" s="36" t="s">
        <v>516</v>
      </c>
      <c r="Q37" s="36" t="s">
        <v>517</v>
      </c>
      <c r="R37" s="36" t="s">
        <v>518</v>
      </c>
      <c r="S37" s="39"/>
      <c r="T37" s="39"/>
      <c r="U37" s="36" t="s">
        <v>519</v>
      </c>
      <c r="V37" s="39"/>
      <c r="W37" s="39" t="s">
        <v>512</v>
      </c>
      <c r="X37" s="39"/>
      <c r="Y37" s="39" t="s">
        <v>498</v>
      </c>
      <c r="Z37" s="39"/>
      <c r="AA37" s="38" t="s">
        <v>217</v>
      </c>
      <c r="AB37" s="37" t="s">
        <v>216</v>
      </c>
      <c r="AC37" s="37" t="s">
        <v>216</v>
      </c>
      <c r="AD37" s="37" t="s">
        <v>216</v>
      </c>
      <c r="AE37" s="37" t="s">
        <v>216</v>
      </c>
      <c r="AF37" s="38" t="s">
        <v>217</v>
      </c>
      <c r="AG37" s="38" t="s">
        <v>217</v>
      </c>
      <c r="AH37" s="37" t="s">
        <v>216</v>
      </c>
      <c r="AI37" s="38" t="s">
        <v>217</v>
      </c>
    </row>
    <row r="38" customFormat="false" ht="57.75" hidden="false" customHeight="true" outlineLevel="0" collapsed="false">
      <c r="A38" s="32" t="n">
        <v>37</v>
      </c>
      <c r="B38" s="34" t="s">
        <v>199</v>
      </c>
      <c r="C38" s="32" t="s">
        <v>200</v>
      </c>
      <c r="D38" s="32" t="s">
        <v>201</v>
      </c>
      <c r="E38" s="31" t="s">
        <v>520</v>
      </c>
      <c r="F38" s="32" t="s">
        <v>521</v>
      </c>
      <c r="G38" s="32" t="s">
        <v>493</v>
      </c>
      <c r="H38" s="32" t="s">
        <v>205</v>
      </c>
      <c r="I38" s="32" t="s">
        <v>522</v>
      </c>
      <c r="J38" s="32"/>
      <c r="K38" s="35"/>
      <c r="L38" s="35"/>
      <c r="M38" s="32" t="s">
        <v>222</v>
      </c>
      <c r="N38" s="32"/>
      <c r="O38" s="36" t="s">
        <v>523</v>
      </c>
      <c r="P38" s="32"/>
      <c r="Q38" s="32"/>
      <c r="R38" s="36" t="s">
        <v>524</v>
      </c>
      <c r="S38" s="32"/>
      <c r="T38" s="32"/>
      <c r="U38" s="32"/>
      <c r="V38" s="32"/>
      <c r="W38" s="32" t="s">
        <v>525</v>
      </c>
      <c r="X38" s="32"/>
      <c r="Y38" s="32" t="s">
        <v>498</v>
      </c>
      <c r="Z38" s="32"/>
      <c r="AA38" s="38" t="s">
        <v>217</v>
      </c>
      <c r="AB38" s="37" t="s">
        <v>216</v>
      </c>
      <c r="AC38" s="38" t="s">
        <v>217</v>
      </c>
      <c r="AD38" s="38" t="s">
        <v>217</v>
      </c>
      <c r="AE38" s="37" t="s">
        <v>216</v>
      </c>
      <c r="AF38" s="38" t="s">
        <v>217</v>
      </c>
      <c r="AG38" s="38" t="s">
        <v>217</v>
      </c>
      <c r="AH38" s="38" t="s">
        <v>217</v>
      </c>
      <c r="AI38" s="38" t="s">
        <v>217</v>
      </c>
    </row>
    <row r="39" customFormat="false" ht="57.75" hidden="false" customHeight="true" outlineLevel="0" collapsed="false">
      <c r="A39" s="39" t="n">
        <v>38</v>
      </c>
      <c r="B39" s="40" t="s">
        <v>199</v>
      </c>
      <c r="C39" s="39" t="s">
        <v>200</v>
      </c>
      <c r="D39" s="39" t="s">
        <v>201</v>
      </c>
      <c r="E39" s="41" t="s">
        <v>526</v>
      </c>
      <c r="F39" s="39" t="s">
        <v>527</v>
      </c>
      <c r="G39" s="39" t="s">
        <v>528</v>
      </c>
      <c r="H39" s="39" t="s">
        <v>205</v>
      </c>
      <c r="I39" s="39" t="s">
        <v>529</v>
      </c>
      <c r="J39" s="39"/>
      <c r="K39" s="42"/>
      <c r="L39" s="42"/>
      <c r="M39" s="39" t="s">
        <v>222</v>
      </c>
      <c r="N39" s="39"/>
      <c r="O39" s="36" t="s">
        <v>530</v>
      </c>
      <c r="P39" s="39"/>
      <c r="Q39" s="39"/>
      <c r="R39" s="36" t="s">
        <v>531</v>
      </c>
      <c r="S39" s="39"/>
      <c r="T39" s="39"/>
      <c r="U39" s="39"/>
      <c r="V39" s="39"/>
      <c r="W39" s="39"/>
      <c r="X39" s="39"/>
      <c r="Y39" s="39" t="s">
        <v>532</v>
      </c>
      <c r="Z39" s="39" t="s">
        <v>533</v>
      </c>
      <c r="AA39" s="38" t="s">
        <v>217</v>
      </c>
      <c r="AB39" s="37" t="s">
        <v>216</v>
      </c>
      <c r="AC39" s="38" t="s">
        <v>217</v>
      </c>
      <c r="AD39" s="38" t="s">
        <v>217</v>
      </c>
      <c r="AE39" s="37" t="s">
        <v>216</v>
      </c>
      <c r="AF39" s="38" t="s">
        <v>217</v>
      </c>
      <c r="AG39" s="38" t="s">
        <v>217</v>
      </c>
      <c r="AH39" s="38" t="s">
        <v>217</v>
      </c>
      <c r="AI39" s="38" t="s">
        <v>217</v>
      </c>
    </row>
    <row r="40" customFormat="false" ht="57.75" hidden="false" customHeight="true" outlineLevel="0" collapsed="false">
      <c r="A40" s="32" t="n">
        <v>39</v>
      </c>
      <c r="B40" s="34" t="s">
        <v>199</v>
      </c>
      <c r="C40" s="32" t="s">
        <v>200</v>
      </c>
      <c r="D40" s="32" t="s">
        <v>201</v>
      </c>
      <c r="E40" s="31" t="s">
        <v>534</v>
      </c>
      <c r="F40" s="32" t="s">
        <v>535</v>
      </c>
      <c r="G40" s="32" t="s">
        <v>536</v>
      </c>
      <c r="H40" s="32" t="s">
        <v>205</v>
      </c>
      <c r="I40" s="32" t="s">
        <v>537</v>
      </c>
      <c r="J40" s="32"/>
      <c r="K40" s="35"/>
      <c r="L40" s="35"/>
      <c r="M40" s="32" t="s">
        <v>222</v>
      </c>
      <c r="N40" s="36" t="s">
        <v>106</v>
      </c>
      <c r="O40" s="36" t="s">
        <v>538</v>
      </c>
      <c r="P40" s="32"/>
      <c r="Q40" s="32"/>
      <c r="R40" s="32"/>
      <c r="S40" s="32"/>
      <c r="T40" s="32"/>
      <c r="U40" s="36" t="s">
        <v>539</v>
      </c>
      <c r="V40" s="32"/>
      <c r="W40" s="32" t="s">
        <v>540</v>
      </c>
      <c r="X40" s="32"/>
      <c r="Y40" s="32" t="s">
        <v>532</v>
      </c>
      <c r="Z40" s="32" t="s">
        <v>541</v>
      </c>
      <c r="AA40" s="37" t="s">
        <v>216</v>
      </c>
      <c r="AB40" s="37" t="s">
        <v>216</v>
      </c>
      <c r="AC40" s="38" t="s">
        <v>217</v>
      </c>
      <c r="AD40" s="38" t="s">
        <v>217</v>
      </c>
      <c r="AE40" s="38" t="s">
        <v>217</v>
      </c>
      <c r="AF40" s="38" t="s">
        <v>217</v>
      </c>
      <c r="AG40" s="38" t="s">
        <v>217</v>
      </c>
      <c r="AH40" s="37" t="s">
        <v>216</v>
      </c>
      <c r="AI40" s="38" t="s">
        <v>217</v>
      </c>
    </row>
    <row r="41" customFormat="false" ht="57.75" hidden="false" customHeight="true" outlineLevel="0" collapsed="false">
      <c r="A41" s="39" t="n">
        <v>40</v>
      </c>
      <c r="B41" s="40" t="s">
        <v>199</v>
      </c>
      <c r="C41" s="39" t="s">
        <v>200</v>
      </c>
      <c r="D41" s="39" t="s">
        <v>201</v>
      </c>
      <c r="E41" s="41" t="s">
        <v>542</v>
      </c>
      <c r="F41" s="39" t="s">
        <v>543</v>
      </c>
      <c r="G41" s="39" t="s">
        <v>544</v>
      </c>
      <c r="H41" s="39" t="s">
        <v>349</v>
      </c>
      <c r="I41" s="39" t="s">
        <v>545</v>
      </c>
      <c r="J41" s="39" t="s">
        <v>546</v>
      </c>
      <c r="K41" s="42" t="n">
        <v>804</v>
      </c>
      <c r="L41" s="42" t="n">
        <v>1823</v>
      </c>
      <c r="M41" s="39" t="s">
        <v>217</v>
      </c>
      <c r="N41" s="39"/>
      <c r="O41" s="36" t="s">
        <v>547</v>
      </c>
      <c r="P41" s="39"/>
      <c r="Q41" s="39"/>
      <c r="R41" s="36" t="s">
        <v>548</v>
      </c>
      <c r="S41" s="39"/>
      <c r="T41" s="39"/>
      <c r="U41" s="36" t="s">
        <v>549</v>
      </c>
      <c r="V41" s="39"/>
      <c r="W41" s="39" t="s">
        <v>550</v>
      </c>
      <c r="X41" s="39"/>
      <c r="Y41" s="39" t="s">
        <v>532</v>
      </c>
      <c r="Z41" s="39" t="s">
        <v>551</v>
      </c>
      <c r="AA41" s="38" t="s">
        <v>217</v>
      </c>
      <c r="AB41" s="37" t="s">
        <v>216</v>
      </c>
      <c r="AC41" s="38" t="s">
        <v>217</v>
      </c>
      <c r="AD41" s="38" t="s">
        <v>217</v>
      </c>
      <c r="AE41" s="37" t="s">
        <v>216</v>
      </c>
      <c r="AF41" s="38" t="s">
        <v>217</v>
      </c>
      <c r="AG41" s="38" t="s">
        <v>217</v>
      </c>
      <c r="AH41" s="37" t="s">
        <v>216</v>
      </c>
      <c r="AI41" s="38" t="s">
        <v>217</v>
      </c>
    </row>
    <row r="42" customFormat="false" ht="57.75" hidden="false" customHeight="true" outlineLevel="0" collapsed="false">
      <c r="A42" s="32" t="n">
        <v>41</v>
      </c>
      <c r="B42" s="34" t="s">
        <v>199</v>
      </c>
      <c r="C42" s="32" t="s">
        <v>200</v>
      </c>
      <c r="D42" s="32" t="s">
        <v>201</v>
      </c>
      <c r="E42" s="31" t="s">
        <v>552</v>
      </c>
      <c r="F42" s="32" t="s">
        <v>552</v>
      </c>
      <c r="G42" s="32" t="s">
        <v>553</v>
      </c>
      <c r="H42" s="32" t="s">
        <v>205</v>
      </c>
      <c r="I42" s="32" t="s">
        <v>554</v>
      </c>
      <c r="J42" s="32"/>
      <c r="K42" s="35"/>
      <c r="L42" s="35"/>
      <c r="M42" s="32" t="s">
        <v>222</v>
      </c>
      <c r="N42" s="32"/>
      <c r="O42" s="36" t="s">
        <v>555</v>
      </c>
      <c r="P42" s="43" t="s">
        <v>556</v>
      </c>
      <c r="Q42" s="43" t="s">
        <v>556</v>
      </c>
      <c r="R42" s="36" t="s">
        <v>557</v>
      </c>
      <c r="S42" s="43" t="s">
        <v>558</v>
      </c>
      <c r="T42" s="36" t="s">
        <v>559</v>
      </c>
      <c r="U42" s="43" t="s">
        <v>560</v>
      </c>
      <c r="V42" s="32"/>
      <c r="W42" s="32" t="s">
        <v>561</v>
      </c>
      <c r="X42" s="32"/>
      <c r="Y42" s="32" t="s">
        <v>562</v>
      </c>
      <c r="Z42" s="32" t="s">
        <v>281</v>
      </c>
      <c r="AA42" s="38" t="s">
        <v>217</v>
      </c>
      <c r="AB42" s="37" t="s">
        <v>216</v>
      </c>
      <c r="AC42" s="44" t="s">
        <v>335</v>
      </c>
      <c r="AD42" s="44" t="s">
        <v>335</v>
      </c>
      <c r="AE42" s="37" t="s">
        <v>216</v>
      </c>
      <c r="AF42" s="44" t="s">
        <v>335</v>
      </c>
      <c r="AG42" s="37" t="s">
        <v>216</v>
      </c>
      <c r="AH42" s="44" t="s">
        <v>335</v>
      </c>
      <c r="AI42" s="38" t="s">
        <v>217</v>
      </c>
    </row>
    <row r="43" customFormat="false" ht="57.75" hidden="false" customHeight="true" outlineLevel="0" collapsed="false">
      <c r="A43" s="39" t="n">
        <v>42</v>
      </c>
      <c r="B43" s="40" t="s">
        <v>199</v>
      </c>
      <c r="C43" s="39" t="s">
        <v>200</v>
      </c>
      <c r="D43" s="39" t="s">
        <v>201</v>
      </c>
      <c r="E43" s="41" t="s">
        <v>563</v>
      </c>
      <c r="F43" s="39" t="s">
        <v>564</v>
      </c>
      <c r="G43" s="39" t="s">
        <v>565</v>
      </c>
      <c r="H43" s="39" t="s">
        <v>349</v>
      </c>
      <c r="I43" s="39" t="s">
        <v>508</v>
      </c>
      <c r="J43" s="39" t="s">
        <v>566</v>
      </c>
      <c r="K43" s="42" t="n">
        <v>3025</v>
      </c>
      <c r="L43" s="42" t="n">
        <v>3025</v>
      </c>
      <c r="M43" s="39" t="s">
        <v>217</v>
      </c>
      <c r="N43" s="39"/>
      <c r="O43" s="36" t="s">
        <v>567</v>
      </c>
      <c r="P43" s="39"/>
      <c r="Q43" s="36" t="s">
        <v>568</v>
      </c>
      <c r="R43" s="36" t="s">
        <v>569</v>
      </c>
      <c r="S43" s="39"/>
      <c r="T43" s="36" t="s">
        <v>570</v>
      </c>
      <c r="U43" s="36" t="s">
        <v>397</v>
      </c>
      <c r="V43" s="39"/>
      <c r="W43" s="39" t="s">
        <v>571</v>
      </c>
      <c r="X43" s="39"/>
      <c r="Y43" s="39" t="s">
        <v>562</v>
      </c>
      <c r="Z43" s="39" t="s">
        <v>230</v>
      </c>
      <c r="AA43" s="38" t="s">
        <v>217</v>
      </c>
      <c r="AB43" s="37" t="s">
        <v>216</v>
      </c>
      <c r="AC43" s="38" t="s">
        <v>217</v>
      </c>
      <c r="AD43" s="37" t="s">
        <v>216</v>
      </c>
      <c r="AE43" s="37" t="s">
        <v>216</v>
      </c>
      <c r="AF43" s="38" t="s">
        <v>217</v>
      </c>
      <c r="AG43" s="37" t="s">
        <v>216</v>
      </c>
      <c r="AH43" s="37" t="s">
        <v>216</v>
      </c>
      <c r="AI43" s="38" t="s">
        <v>217</v>
      </c>
    </row>
    <row r="44" customFormat="false" ht="57.75" hidden="false" customHeight="true" outlineLevel="0" collapsed="false">
      <c r="A44" s="32" t="n">
        <v>43</v>
      </c>
      <c r="B44" s="34" t="s">
        <v>199</v>
      </c>
      <c r="C44" s="32" t="s">
        <v>200</v>
      </c>
      <c r="D44" s="32" t="s">
        <v>201</v>
      </c>
      <c r="E44" s="31" t="s">
        <v>572</v>
      </c>
      <c r="F44" s="32" t="s">
        <v>573</v>
      </c>
      <c r="G44" s="32" t="s">
        <v>574</v>
      </c>
      <c r="H44" s="32" t="s">
        <v>205</v>
      </c>
      <c r="I44" s="32" t="s">
        <v>575</v>
      </c>
      <c r="J44" s="32"/>
      <c r="K44" s="35"/>
      <c r="L44" s="35"/>
      <c r="M44" s="32" t="s">
        <v>222</v>
      </c>
      <c r="N44" s="36" t="s">
        <v>309</v>
      </c>
      <c r="O44" s="36" t="s">
        <v>576</v>
      </c>
      <c r="P44" s="32"/>
      <c r="Q44" s="36" t="s">
        <v>577</v>
      </c>
      <c r="R44" s="36" t="s">
        <v>578</v>
      </c>
      <c r="S44" s="36" t="s">
        <v>579</v>
      </c>
      <c r="T44" s="32"/>
      <c r="U44" s="36" t="s">
        <v>580</v>
      </c>
      <c r="V44" s="32"/>
      <c r="W44" s="32" t="s">
        <v>581</v>
      </c>
      <c r="X44" s="32"/>
      <c r="Y44" s="32" t="s">
        <v>582</v>
      </c>
      <c r="Z44" s="32" t="s">
        <v>242</v>
      </c>
      <c r="AA44" s="37" t="s">
        <v>216</v>
      </c>
      <c r="AB44" s="37" t="s">
        <v>216</v>
      </c>
      <c r="AC44" s="38" t="s">
        <v>217</v>
      </c>
      <c r="AD44" s="37" t="s">
        <v>216</v>
      </c>
      <c r="AE44" s="37" t="s">
        <v>216</v>
      </c>
      <c r="AF44" s="37" t="s">
        <v>216</v>
      </c>
      <c r="AG44" s="38" t="s">
        <v>217</v>
      </c>
      <c r="AH44" s="37" t="s">
        <v>216</v>
      </c>
      <c r="AI44" s="38" t="s">
        <v>217</v>
      </c>
    </row>
    <row r="45" customFormat="false" ht="57.75" hidden="false" customHeight="true" outlineLevel="0" collapsed="false">
      <c r="A45" s="39" t="n">
        <v>44</v>
      </c>
      <c r="B45" s="40" t="s">
        <v>199</v>
      </c>
      <c r="C45" s="39" t="s">
        <v>200</v>
      </c>
      <c r="D45" s="39" t="s">
        <v>201</v>
      </c>
      <c r="E45" s="41" t="s">
        <v>583</v>
      </c>
      <c r="F45" s="39" t="s">
        <v>584</v>
      </c>
      <c r="G45" s="39" t="s">
        <v>585</v>
      </c>
      <c r="H45" s="39" t="s">
        <v>205</v>
      </c>
      <c r="I45" s="39" t="s">
        <v>586</v>
      </c>
      <c r="J45" s="39" t="s">
        <v>587</v>
      </c>
      <c r="K45" s="42" t="n">
        <v>2950</v>
      </c>
      <c r="L45" s="42" t="n">
        <v>2950</v>
      </c>
      <c r="M45" s="39" t="s">
        <v>222</v>
      </c>
      <c r="N45" s="39"/>
      <c r="O45" s="36" t="s">
        <v>588</v>
      </c>
      <c r="P45" s="39"/>
      <c r="Q45" s="39"/>
      <c r="R45" s="36" t="s">
        <v>589</v>
      </c>
      <c r="S45" s="39"/>
      <c r="T45" s="39"/>
      <c r="U45" s="36" t="s">
        <v>590</v>
      </c>
      <c r="V45" s="39"/>
      <c r="W45" s="39" t="s">
        <v>591</v>
      </c>
      <c r="X45" s="39"/>
      <c r="Y45" s="39" t="s">
        <v>592</v>
      </c>
      <c r="Z45" s="39"/>
      <c r="AA45" s="38" t="s">
        <v>217</v>
      </c>
      <c r="AB45" s="37" t="s">
        <v>216</v>
      </c>
      <c r="AC45" s="38" t="s">
        <v>217</v>
      </c>
      <c r="AD45" s="38" t="s">
        <v>217</v>
      </c>
      <c r="AE45" s="37" t="s">
        <v>216</v>
      </c>
      <c r="AF45" s="38" t="s">
        <v>217</v>
      </c>
      <c r="AG45" s="38" t="s">
        <v>217</v>
      </c>
      <c r="AH45" s="37" t="s">
        <v>216</v>
      </c>
      <c r="AI45" s="38" t="s">
        <v>217</v>
      </c>
    </row>
    <row r="46" customFormat="false" ht="57.75" hidden="false" customHeight="true" outlineLevel="0" collapsed="false">
      <c r="A46" s="32" t="n">
        <v>45</v>
      </c>
      <c r="B46" s="34" t="s">
        <v>199</v>
      </c>
      <c r="C46" s="32" t="s">
        <v>200</v>
      </c>
      <c r="D46" s="32" t="s">
        <v>201</v>
      </c>
      <c r="E46" s="31" t="s">
        <v>593</v>
      </c>
      <c r="F46" s="32" t="s">
        <v>366</v>
      </c>
      <c r="G46" s="32" t="s">
        <v>594</v>
      </c>
      <c r="H46" s="32" t="s">
        <v>349</v>
      </c>
      <c r="I46" s="32" t="s">
        <v>595</v>
      </c>
      <c r="J46" s="32"/>
      <c r="K46" s="35"/>
      <c r="L46" s="35"/>
      <c r="M46" s="32" t="s">
        <v>217</v>
      </c>
      <c r="N46" s="32"/>
      <c r="O46" s="36" t="s">
        <v>596</v>
      </c>
      <c r="P46" s="32"/>
      <c r="Q46" s="32"/>
      <c r="R46" s="36" t="s">
        <v>597</v>
      </c>
      <c r="S46" s="32"/>
      <c r="T46" s="32"/>
      <c r="U46" s="32"/>
      <c r="V46" s="32"/>
      <c r="W46" s="32" t="s">
        <v>371</v>
      </c>
      <c r="X46" s="32"/>
      <c r="Y46" s="32" t="s">
        <v>598</v>
      </c>
      <c r="Z46" s="32" t="s">
        <v>599</v>
      </c>
      <c r="AA46" s="38" t="s">
        <v>217</v>
      </c>
      <c r="AB46" s="37" t="s">
        <v>216</v>
      </c>
      <c r="AC46" s="38" t="s">
        <v>217</v>
      </c>
      <c r="AD46" s="38" t="s">
        <v>217</v>
      </c>
      <c r="AE46" s="37" t="s">
        <v>216</v>
      </c>
      <c r="AF46" s="38" t="s">
        <v>217</v>
      </c>
      <c r="AG46" s="38" t="s">
        <v>217</v>
      </c>
      <c r="AH46" s="38" t="s">
        <v>217</v>
      </c>
      <c r="AI46" s="38" t="s">
        <v>217</v>
      </c>
    </row>
    <row r="47" customFormat="false" ht="57.75" hidden="false" customHeight="true" outlineLevel="0" collapsed="false">
      <c r="A47" s="39" t="n">
        <v>46</v>
      </c>
      <c r="B47" s="40" t="s">
        <v>199</v>
      </c>
      <c r="C47" s="39" t="s">
        <v>200</v>
      </c>
      <c r="D47" s="39" t="s">
        <v>201</v>
      </c>
      <c r="E47" s="41" t="s">
        <v>600</v>
      </c>
      <c r="F47" s="39" t="s">
        <v>366</v>
      </c>
      <c r="G47" s="39" t="s">
        <v>601</v>
      </c>
      <c r="H47" s="39" t="s">
        <v>349</v>
      </c>
      <c r="I47" s="39" t="s">
        <v>529</v>
      </c>
      <c r="J47" s="39"/>
      <c r="K47" s="42"/>
      <c r="L47" s="42"/>
      <c r="M47" s="39" t="s">
        <v>217</v>
      </c>
      <c r="N47" s="39"/>
      <c r="O47" s="36" t="s">
        <v>596</v>
      </c>
      <c r="P47" s="39"/>
      <c r="Q47" s="39"/>
      <c r="R47" s="36" t="s">
        <v>597</v>
      </c>
      <c r="S47" s="39"/>
      <c r="T47" s="39"/>
      <c r="U47" s="39"/>
      <c r="V47" s="39"/>
      <c r="W47" s="39" t="s">
        <v>371</v>
      </c>
      <c r="X47" s="39"/>
      <c r="Y47" s="39" t="s">
        <v>602</v>
      </c>
      <c r="Z47" s="39" t="s">
        <v>603</v>
      </c>
      <c r="AA47" s="38" t="s">
        <v>217</v>
      </c>
      <c r="AB47" s="37" t="s">
        <v>216</v>
      </c>
      <c r="AC47" s="38" t="s">
        <v>217</v>
      </c>
      <c r="AD47" s="38" t="s">
        <v>217</v>
      </c>
      <c r="AE47" s="37" t="s">
        <v>216</v>
      </c>
      <c r="AF47" s="38" t="s">
        <v>217</v>
      </c>
      <c r="AG47" s="38" t="s">
        <v>217</v>
      </c>
      <c r="AH47" s="38" t="s">
        <v>217</v>
      </c>
      <c r="AI47" s="38" t="s">
        <v>217</v>
      </c>
    </row>
    <row r="48" customFormat="false" ht="57.75" hidden="false" customHeight="true" outlineLevel="0" collapsed="false">
      <c r="A48" s="32" t="n">
        <v>47</v>
      </c>
      <c r="B48" s="34" t="s">
        <v>199</v>
      </c>
      <c r="C48" s="32" t="s">
        <v>200</v>
      </c>
      <c r="D48" s="32" t="s">
        <v>201</v>
      </c>
      <c r="E48" s="31" t="s">
        <v>604</v>
      </c>
      <c r="F48" s="32" t="s">
        <v>605</v>
      </c>
      <c r="G48" s="32" t="s">
        <v>606</v>
      </c>
      <c r="H48" s="32" t="s">
        <v>349</v>
      </c>
      <c r="I48" s="32" t="s">
        <v>607</v>
      </c>
      <c r="J48" s="32"/>
      <c r="K48" s="35"/>
      <c r="L48" s="35"/>
      <c r="M48" s="32" t="s">
        <v>217</v>
      </c>
      <c r="N48" s="36" t="s">
        <v>106</v>
      </c>
      <c r="O48" s="32"/>
      <c r="P48" s="32"/>
      <c r="Q48" s="32"/>
      <c r="R48" s="32"/>
      <c r="S48" s="32"/>
      <c r="T48" s="32"/>
      <c r="U48" s="36" t="s">
        <v>608</v>
      </c>
      <c r="V48" s="32"/>
      <c r="W48" s="32" t="s">
        <v>302</v>
      </c>
      <c r="X48" s="32"/>
      <c r="Y48" s="32" t="s">
        <v>609</v>
      </c>
      <c r="Z48" s="32" t="s">
        <v>610</v>
      </c>
      <c r="AA48" s="37" t="s">
        <v>216</v>
      </c>
      <c r="AB48" s="38" t="s">
        <v>217</v>
      </c>
      <c r="AC48" s="38" t="s">
        <v>217</v>
      </c>
      <c r="AD48" s="38" t="s">
        <v>217</v>
      </c>
      <c r="AE48" s="38" t="s">
        <v>217</v>
      </c>
      <c r="AF48" s="38" t="s">
        <v>217</v>
      </c>
      <c r="AG48" s="38" t="s">
        <v>217</v>
      </c>
      <c r="AH48" s="37" t="s">
        <v>216</v>
      </c>
      <c r="AI48" s="38" t="s">
        <v>217</v>
      </c>
    </row>
    <row r="49" customFormat="false" ht="57.75" hidden="false" customHeight="true" outlineLevel="0" collapsed="false">
      <c r="A49" s="39" t="n">
        <v>48</v>
      </c>
      <c r="B49" s="40" t="s">
        <v>199</v>
      </c>
      <c r="C49" s="39" t="s">
        <v>200</v>
      </c>
      <c r="D49" s="39" t="s">
        <v>201</v>
      </c>
      <c r="E49" s="41" t="s">
        <v>611</v>
      </c>
      <c r="F49" s="39" t="s">
        <v>612</v>
      </c>
      <c r="G49" s="39" t="s">
        <v>613</v>
      </c>
      <c r="H49" s="39" t="s">
        <v>349</v>
      </c>
      <c r="I49" s="39" t="s">
        <v>614</v>
      </c>
      <c r="J49" s="39"/>
      <c r="K49" s="42"/>
      <c r="L49" s="42"/>
      <c r="M49" s="39" t="s">
        <v>217</v>
      </c>
      <c r="N49" s="39"/>
      <c r="O49" s="39"/>
      <c r="P49" s="39"/>
      <c r="Q49" s="39"/>
      <c r="R49" s="39"/>
      <c r="S49" s="39"/>
      <c r="T49" s="39"/>
      <c r="U49" s="39"/>
      <c r="V49" s="39"/>
      <c r="W49" s="39" t="s">
        <v>302</v>
      </c>
      <c r="X49" s="39"/>
      <c r="Y49" s="39" t="s">
        <v>609</v>
      </c>
      <c r="Z49" s="39" t="s">
        <v>419</v>
      </c>
      <c r="AA49" s="38" t="s">
        <v>217</v>
      </c>
      <c r="AB49" s="38" t="s">
        <v>217</v>
      </c>
      <c r="AC49" s="38" t="s">
        <v>217</v>
      </c>
      <c r="AD49" s="38" t="s">
        <v>217</v>
      </c>
      <c r="AE49" s="38" t="s">
        <v>217</v>
      </c>
      <c r="AF49" s="38" t="s">
        <v>217</v>
      </c>
      <c r="AG49" s="38" t="s">
        <v>217</v>
      </c>
      <c r="AH49" s="38" t="s">
        <v>217</v>
      </c>
      <c r="AI49" s="38" t="s">
        <v>217</v>
      </c>
    </row>
    <row r="50" customFormat="false" ht="57.75" hidden="false" customHeight="true" outlineLevel="0" collapsed="false">
      <c r="A50" s="32" t="n">
        <v>49</v>
      </c>
      <c r="B50" s="34" t="s">
        <v>199</v>
      </c>
      <c r="C50" s="32" t="s">
        <v>200</v>
      </c>
      <c r="D50" s="32" t="s">
        <v>201</v>
      </c>
      <c r="E50" s="31" t="s">
        <v>615</v>
      </c>
      <c r="F50" s="32" t="s">
        <v>616</v>
      </c>
      <c r="G50" s="32" t="s">
        <v>617</v>
      </c>
      <c r="H50" s="32" t="s">
        <v>205</v>
      </c>
      <c r="I50" s="32" t="s">
        <v>618</v>
      </c>
      <c r="J50" s="32" t="s">
        <v>619</v>
      </c>
      <c r="K50" s="35"/>
      <c r="L50" s="35"/>
      <c r="M50" s="32" t="s">
        <v>208</v>
      </c>
      <c r="N50" s="36" t="s">
        <v>106</v>
      </c>
      <c r="O50" s="32"/>
      <c r="P50" s="32"/>
      <c r="Q50" s="32"/>
      <c r="R50" s="32"/>
      <c r="S50" s="32"/>
      <c r="T50" s="36" t="s">
        <v>620</v>
      </c>
      <c r="U50" s="36" t="s">
        <v>621</v>
      </c>
      <c r="V50" s="32"/>
      <c r="W50" s="32" t="s">
        <v>622</v>
      </c>
      <c r="X50" s="32"/>
      <c r="Y50" s="32" t="s">
        <v>623</v>
      </c>
      <c r="Z50" s="32" t="s">
        <v>624</v>
      </c>
      <c r="AA50" s="37" t="s">
        <v>216</v>
      </c>
      <c r="AB50" s="38" t="s">
        <v>217</v>
      </c>
      <c r="AC50" s="38" t="s">
        <v>217</v>
      </c>
      <c r="AD50" s="38" t="s">
        <v>217</v>
      </c>
      <c r="AE50" s="38" t="s">
        <v>217</v>
      </c>
      <c r="AF50" s="38" t="s">
        <v>217</v>
      </c>
      <c r="AG50" s="37" t="s">
        <v>216</v>
      </c>
      <c r="AH50" s="37" t="s">
        <v>216</v>
      </c>
      <c r="AI50" s="38" t="s">
        <v>217</v>
      </c>
    </row>
    <row r="51" customFormat="false" ht="57.75" hidden="false" customHeight="true" outlineLevel="0" collapsed="false">
      <c r="A51" s="39" t="n">
        <v>50</v>
      </c>
      <c r="B51" s="40" t="s">
        <v>199</v>
      </c>
      <c r="C51" s="39" t="s">
        <v>200</v>
      </c>
      <c r="D51" s="39" t="s">
        <v>201</v>
      </c>
      <c r="E51" s="41" t="s">
        <v>625</v>
      </c>
      <c r="F51" s="39" t="s">
        <v>626</v>
      </c>
      <c r="G51" s="39" t="s">
        <v>627</v>
      </c>
      <c r="H51" s="39" t="s">
        <v>349</v>
      </c>
      <c r="I51" s="39" t="s">
        <v>628</v>
      </c>
      <c r="J51" s="39"/>
      <c r="K51" s="42"/>
      <c r="L51" s="42"/>
      <c r="M51" s="39" t="s">
        <v>217</v>
      </c>
      <c r="N51" s="39"/>
      <c r="O51" s="36" t="s">
        <v>629</v>
      </c>
      <c r="P51" s="39"/>
      <c r="Q51" s="39"/>
      <c r="R51" s="36" t="s">
        <v>630</v>
      </c>
      <c r="S51" s="36" t="s">
        <v>631</v>
      </c>
      <c r="T51" s="36" t="s">
        <v>620</v>
      </c>
      <c r="U51" s="36" t="s">
        <v>632</v>
      </c>
      <c r="V51" s="39"/>
      <c r="W51" s="39" t="s">
        <v>633</v>
      </c>
      <c r="X51" s="39"/>
      <c r="Y51" s="39" t="s">
        <v>634</v>
      </c>
      <c r="Z51" s="39" t="s">
        <v>533</v>
      </c>
      <c r="AA51" s="38" t="s">
        <v>217</v>
      </c>
      <c r="AB51" s="37" t="s">
        <v>216</v>
      </c>
      <c r="AC51" s="38" t="s">
        <v>217</v>
      </c>
      <c r="AD51" s="38" t="s">
        <v>217</v>
      </c>
      <c r="AE51" s="37" t="s">
        <v>216</v>
      </c>
      <c r="AF51" s="37" t="s">
        <v>216</v>
      </c>
      <c r="AG51" s="37" t="s">
        <v>216</v>
      </c>
      <c r="AH51" s="37" t="s">
        <v>216</v>
      </c>
      <c r="AI51" s="38" t="s">
        <v>217</v>
      </c>
    </row>
    <row r="52" customFormat="false" ht="57.75" hidden="false" customHeight="true" outlineLevel="0" collapsed="false">
      <c r="A52" s="32" t="n">
        <v>51</v>
      </c>
      <c r="B52" s="34" t="s">
        <v>199</v>
      </c>
      <c r="C52" s="32" t="s">
        <v>200</v>
      </c>
      <c r="D52" s="32" t="s">
        <v>201</v>
      </c>
      <c r="E52" s="31" t="s">
        <v>635</v>
      </c>
      <c r="F52" s="32" t="s">
        <v>626</v>
      </c>
      <c r="G52" s="32" t="s">
        <v>627</v>
      </c>
      <c r="H52" s="32" t="s">
        <v>349</v>
      </c>
      <c r="I52" s="32" t="s">
        <v>636</v>
      </c>
      <c r="J52" s="32"/>
      <c r="K52" s="35"/>
      <c r="L52" s="35"/>
      <c r="M52" s="32" t="s">
        <v>217</v>
      </c>
      <c r="N52" s="32"/>
      <c r="O52" s="32"/>
      <c r="P52" s="36" t="s">
        <v>637</v>
      </c>
      <c r="Q52" s="36" t="s">
        <v>638</v>
      </c>
      <c r="R52" s="32"/>
      <c r="S52" s="36" t="s">
        <v>212</v>
      </c>
      <c r="T52" s="36" t="s">
        <v>638</v>
      </c>
      <c r="U52" s="32"/>
      <c r="V52" s="32"/>
      <c r="W52" s="32" t="s">
        <v>639</v>
      </c>
      <c r="X52" s="32"/>
      <c r="Y52" s="32" t="s">
        <v>634</v>
      </c>
      <c r="Z52" s="32" t="s">
        <v>640</v>
      </c>
      <c r="AA52" s="38" t="s">
        <v>217</v>
      </c>
      <c r="AB52" s="38" t="s">
        <v>217</v>
      </c>
      <c r="AC52" s="37" t="s">
        <v>216</v>
      </c>
      <c r="AD52" s="37" t="s">
        <v>216</v>
      </c>
      <c r="AE52" s="38" t="s">
        <v>217</v>
      </c>
      <c r="AF52" s="37" t="s">
        <v>216</v>
      </c>
      <c r="AG52" s="37" t="s">
        <v>216</v>
      </c>
      <c r="AH52" s="38" t="s">
        <v>217</v>
      </c>
      <c r="AI52" s="38" t="s">
        <v>217</v>
      </c>
    </row>
    <row r="53" customFormat="false" ht="57.75" hidden="false" customHeight="true" outlineLevel="0" collapsed="false">
      <c r="A53" s="39" t="n">
        <v>52</v>
      </c>
      <c r="B53" s="40" t="s">
        <v>199</v>
      </c>
      <c r="C53" s="39" t="s">
        <v>200</v>
      </c>
      <c r="D53" s="39" t="s">
        <v>201</v>
      </c>
      <c r="E53" s="41" t="s">
        <v>641</v>
      </c>
      <c r="F53" s="39" t="s">
        <v>482</v>
      </c>
      <c r="G53" s="39" t="s">
        <v>627</v>
      </c>
      <c r="H53" s="39" t="s">
        <v>642</v>
      </c>
      <c r="I53" s="39" t="s">
        <v>643</v>
      </c>
      <c r="J53" s="39"/>
      <c r="K53" s="42"/>
      <c r="L53" s="42"/>
      <c r="M53" s="39" t="s">
        <v>208</v>
      </c>
      <c r="N53" s="39"/>
      <c r="O53" s="39"/>
      <c r="P53" s="39"/>
      <c r="Q53" s="39"/>
      <c r="R53" s="39"/>
      <c r="S53" s="36" t="s">
        <v>212</v>
      </c>
      <c r="T53" s="36" t="s">
        <v>644</v>
      </c>
      <c r="U53" s="36" t="s">
        <v>645</v>
      </c>
      <c r="V53" s="39"/>
      <c r="W53" s="39" t="s">
        <v>646</v>
      </c>
      <c r="X53" s="39"/>
      <c r="Y53" s="39" t="s">
        <v>647</v>
      </c>
      <c r="Z53" s="39" t="s">
        <v>648</v>
      </c>
      <c r="AA53" s="38" t="s">
        <v>217</v>
      </c>
      <c r="AB53" s="38" t="s">
        <v>217</v>
      </c>
      <c r="AC53" s="38" t="s">
        <v>217</v>
      </c>
      <c r="AD53" s="38" t="s">
        <v>217</v>
      </c>
      <c r="AE53" s="38" t="s">
        <v>217</v>
      </c>
      <c r="AF53" s="37" t="s">
        <v>216</v>
      </c>
      <c r="AG53" s="37" t="s">
        <v>216</v>
      </c>
      <c r="AH53" s="37" t="s">
        <v>216</v>
      </c>
      <c r="AI53" s="38" t="s">
        <v>217</v>
      </c>
    </row>
    <row r="54" customFormat="false" ht="57.75" hidden="false" customHeight="true" outlineLevel="0" collapsed="false">
      <c r="A54" s="32" t="n">
        <v>53</v>
      </c>
      <c r="B54" s="34" t="s">
        <v>199</v>
      </c>
      <c r="C54" s="32" t="s">
        <v>200</v>
      </c>
      <c r="D54" s="32" t="s">
        <v>201</v>
      </c>
      <c r="E54" s="31" t="s">
        <v>649</v>
      </c>
      <c r="F54" s="32" t="s">
        <v>650</v>
      </c>
      <c r="G54" s="32" t="s">
        <v>627</v>
      </c>
      <c r="H54" s="32" t="s">
        <v>651</v>
      </c>
      <c r="I54" s="32" t="s">
        <v>652</v>
      </c>
      <c r="J54" s="32"/>
      <c r="K54" s="35"/>
      <c r="L54" s="35"/>
      <c r="M54" s="32" t="s">
        <v>217</v>
      </c>
      <c r="N54" s="32"/>
      <c r="O54" s="32"/>
      <c r="P54" s="36" t="s">
        <v>653</v>
      </c>
      <c r="Q54" s="36" t="s">
        <v>654</v>
      </c>
      <c r="R54" s="32"/>
      <c r="S54" s="32"/>
      <c r="T54" s="36" t="s">
        <v>638</v>
      </c>
      <c r="U54" s="32"/>
      <c r="V54" s="36" t="s">
        <v>655</v>
      </c>
      <c r="W54" s="32" t="s">
        <v>656</v>
      </c>
      <c r="X54" s="32"/>
      <c r="Y54" s="32" t="s">
        <v>657</v>
      </c>
      <c r="Z54" s="32" t="s">
        <v>658</v>
      </c>
      <c r="AA54" s="38" t="s">
        <v>217</v>
      </c>
      <c r="AB54" s="38" t="s">
        <v>217</v>
      </c>
      <c r="AC54" s="37" t="s">
        <v>216</v>
      </c>
      <c r="AD54" s="37" t="s">
        <v>216</v>
      </c>
      <c r="AE54" s="38" t="s">
        <v>217</v>
      </c>
      <c r="AF54" s="38" t="s">
        <v>217</v>
      </c>
      <c r="AG54" s="37" t="s">
        <v>216</v>
      </c>
      <c r="AH54" s="38" t="s">
        <v>217</v>
      </c>
      <c r="AI54" s="37" t="s">
        <v>216</v>
      </c>
    </row>
    <row r="55" customFormat="false" ht="57.75" hidden="false" customHeight="true" outlineLevel="0" collapsed="false">
      <c r="A55" s="39" t="n">
        <v>54</v>
      </c>
      <c r="B55" s="40" t="s">
        <v>199</v>
      </c>
      <c r="C55" s="39" t="s">
        <v>200</v>
      </c>
      <c r="D55" s="39" t="s">
        <v>201</v>
      </c>
      <c r="E55" s="41" t="s">
        <v>659</v>
      </c>
      <c r="F55" s="39" t="s">
        <v>660</v>
      </c>
      <c r="G55" s="39" t="s">
        <v>661</v>
      </c>
      <c r="H55" s="39" t="s">
        <v>205</v>
      </c>
      <c r="I55" s="39" t="s">
        <v>662</v>
      </c>
      <c r="J55" s="39" t="s">
        <v>663</v>
      </c>
      <c r="K55" s="42" t="n">
        <v>3690</v>
      </c>
      <c r="L55" s="42" t="n">
        <v>3690</v>
      </c>
      <c r="M55" s="39" t="s">
        <v>222</v>
      </c>
      <c r="N55" s="36" t="s">
        <v>106</v>
      </c>
      <c r="O55" s="39"/>
      <c r="P55" s="36" t="s">
        <v>664</v>
      </c>
      <c r="Q55" s="36" t="s">
        <v>665</v>
      </c>
      <c r="R55" s="39"/>
      <c r="S55" s="39"/>
      <c r="T55" s="36" t="s">
        <v>666</v>
      </c>
      <c r="U55" s="36" t="s">
        <v>667</v>
      </c>
      <c r="V55" s="39"/>
      <c r="W55" s="39" t="s">
        <v>302</v>
      </c>
      <c r="X55" s="39"/>
      <c r="Y55" s="39" t="s">
        <v>668</v>
      </c>
      <c r="Z55" s="39" t="s">
        <v>669</v>
      </c>
      <c r="AA55" s="37" t="s">
        <v>216</v>
      </c>
      <c r="AB55" s="38" t="s">
        <v>217</v>
      </c>
      <c r="AC55" s="37" t="s">
        <v>216</v>
      </c>
      <c r="AD55" s="37" t="s">
        <v>216</v>
      </c>
      <c r="AE55" s="38" t="s">
        <v>217</v>
      </c>
      <c r="AF55" s="38" t="s">
        <v>217</v>
      </c>
      <c r="AG55" s="37" t="s">
        <v>216</v>
      </c>
      <c r="AH55" s="37" t="s">
        <v>216</v>
      </c>
      <c r="AI55" s="38" t="s">
        <v>217</v>
      </c>
    </row>
    <row r="56" customFormat="false" ht="57.75" hidden="false" customHeight="true" outlineLevel="0" collapsed="false">
      <c r="A56" s="32" t="n">
        <v>55</v>
      </c>
      <c r="B56" s="34" t="s">
        <v>199</v>
      </c>
      <c r="C56" s="32" t="s">
        <v>200</v>
      </c>
      <c r="D56" s="32" t="s">
        <v>201</v>
      </c>
      <c r="E56" s="31" t="s">
        <v>670</v>
      </c>
      <c r="F56" s="32" t="s">
        <v>465</v>
      </c>
      <c r="G56" s="32" t="s">
        <v>627</v>
      </c>
      <c r="H56" s="32" t="s">
        <v>642</v>
      </c>
      <c r="I56" s="32" t="s">
        <v>671</v>
      </c>
      <c r="J56" s="32"/>
      <c r="K56" s="35"/>
      <c r="L56" s="35"/>
      <c r="M56" s="32" t="s">
        <v>208</v>
      </c>
      <c r="N56" s="32"/>
      <c r="O56" s="32"/>
      <c r="P56" s="32"/>
      <c r="Q56" s="36" t="s">
        <v>638</v>
      </c>
      <c r="R56" s="32"/>
      <c r="S56" s="36" t="s">
        <v>212</v>
      </c>
      <c r="T56" s="36" t="s">
        <v>638</v>
      </c>
      <c r="U56" s="36" t="s">
        <v>672</v>
      </c>
      <c r="V56" s="32"/>
      <c r="W56" s="32" t="s">
        <v>673</v>
      </c>
      <c r="X56" s="32"/>
      <c r="Y56" s="32" t="s">
        <v>668</v>
      </c>
      <c r="Z56" s="32" t="s">
        <v>674</v>
      </c>
      <c r="AA56" s="38" t="s">
        <v>217</v>
      </c>
      <c r="AB56" s="38" t="s">
        <v>217</v>
      </c>
      <c r="AC56" s="38" t="s">
        <v>217</v>
      </c>
      <c r="AD56" s="37" t="s">
        <v>216</v>
      </c>
      <c r="AE56" s="38" t="s">
        <v>217</v>
      </c>
      <c r="AF56" s="37" t="s">
        <v>216</v>
      </c>
      <c r="AG56" s="37" t="s">
        <v>216</v>
      </c>
      <c r="AH56" s="37" t="s">
        <v>216</v>
      </c>
      <c r="AI56" s="38" t="s">
        <v>217</v>
      </c>
    </row>
    <row r="57" customFormat="false" ht="57.75" hidden="false" customHeight="true" outlineLevel="0" collapsed="false">
      <c r="A57" s="39" t="n">
        <v>56</v>
      </c>
      <c r="B57" s="40" t="s">
        <v>199</v>
      </c>
      <c r="C57" s="39" t="s">
        <v>200</v>
      </c>
      <c r="D57" s="39" t="s">
        <v>201</v>
      </c>
      <c r="E57" s="41" t="s">
        <v>675</v>
      </c>
      <c r="F57" s="39" t="s">
        <v>650</v>
      </c>
      <c r="G57" s="39" t="s">
        <v>676</v>
      </c>
      <c r="H57" s="39" t="s">
        <v>349</v>
      </c>
      <c r="I57" s="39" t="s">
        <v>677</v>
      </c>
      <c r="J57" s="39" t="s">
        <v>678</v>
      </c>
      <c r="K57" s="42" t="n">
        <v>2050</v>
      </c>
      <c r="L57" s="42" t="n">
        <v>2050</v>
      </c>
      <c r="M57" s="39" t="s">
        <v>217</v>
      </c>
      <c r="N57" s="39"/>
      <c r="O57" s="39"/>
      <c r="P57" s="39"/>
      <c r="Q57" s="36" t="s">
        <v>679</v>
      </c>
      <c r="R57" s="39"/>
      <c r="S57" s="39"/>
      <c r="T57" s="36" t="s">
        <v>638</v>
      </c>
      <c r="U57" s="39"/>
      <c r="V57" s="36" t="s">
        <v>655</v>
      </c>
      <c r="W57" s="39" t="s">
        <v>680</v>
      </c>
      <c r="X57" s="39"/>
      <c r="Y57" s="39" t="s">
        <v>668</v>
      </c>
      <c r="Z57" s="39" t="s">
        <v>281</v>
      </c>
      <c r="AA57" s="38" t="s">
        <v>217</v>
      </c>
      <c r="AB57" s="38" t="s">
        <v>217</v>
      </c>
      <c r="AC57" s="38" t="s">
        <v>217</v>
      </c>
      <c r="AD57" s="37" t="s">
        <v>216</v>
      </c>
      <c r="AE57" s="38" t="s">
        <v>217</v>
      </c>
      <c r="AF57" s="38" t="s">
        <v>217</v>
      </c>
      <c r="AG57" s="37" t="s">
        <v>216</v>
      </c>
      <c r="AH57" s="38" t="s">
        <v>217</v>
      </c>
      <c r="AI57" s="37" t="s">
        <v>216</v>
      </c>
    </row>
    <row r="58" customFormat="false" ht="57.75" hidden="false" customHeight="true" outlineLevel="0" collapsed="false">
      <c r="A58" s="32" t="n">
        <v>57</v>
      </c>
      <c r="B58" s="34" t="s">
        <v>199</v>
      </c>
      <c r="C58" s="32" t="s">
        <v>200</v>
      </c>
      <c r="D58" s="32" t="s">
        <v>201</v>
      </c>
      <c r="E58" s="31" t="s">
        <v>681</v>
      </c>
      <c r="F58" s="32" t="s">
        <v>682</v>
      </c>
      <c r="G58" s="32" t="s">
        <v>683</v>
      </c>
      <c r="H58" s="32" t="s">
        <v>349</v>
      </c>
      <c r="I58" s="32" t="s">
        <v>684</v>
      </c>
      <c r="J58" s="32" t="s">
        <v>685</v>
      </c>
      <c r="K58" s="35" t="n">
        <v>1727.25</v>
      </c>
      <c r="L58" s="35" t="n">
        <v>1727.25</v>
      </c>
      <c r="M58" s="32" t="s">
        <v>217</v>
      </c>
      <c r="N58" s="36" t="s">
        <v>106</v>
      </c>
      <c r="O58" s="32"/>
      <c r="P58" s="32"/>
      <c r="Q58" s="36" t="s">
        <v>638</v>
      </c>
      <c r="R58" s="32"/>
      <c r="S58" s="36" t="s">
        <v>686</v>
      </c>
      <c r="T58" s="36" t="s">
        <v>638</v>
      </c>
      <c r="U58" s="36" t="s">
        <v>687</v>
      </c>
      <c r="V58" s="32"/>
      <c r="W58" s="32" t="s">
        <v>688</v>
      </c>
      <c r="X58" s="32"/>
      <c r="Y58" s="32" t="s">
        <v>668</v>
      </c>
      <c r="Z58" s="32" t="s">
        <v>689</v>
      </c>
      <c r="AA58" s="37" t="s">
        <v>216</v>
      </c>
      <c r="AB58" s="38" t="s">
        <v>217</v>
      </c>
      <c r="AC58" s="38" t="s">
        <v>217</v>
      </c>
      <c r="AD58" s="37" t="s">
        <v>216</v>
      </c>
      <c r="AE58" s="38" t="s">
        <v>217</v>
      </c>
      <c r="AF58" s="37" t="s">
        <v>216</v>
      </c>
      <c r="AG58" s="37" t="s">
        <v>216</v>
      </c>
      <c r="AH58" s="37" t="s">
        <v>216</v>
      </c>
      <c r="AI58" s="38" t="s">
        <v>217</v>
      </c>
    </row>
    <row r="59" customFormat="false" ht="57.75" hidden="false" customHeight="true" outlineLevel="0" collapsed="false">
      <c r="A59" s="39" t="n">
        <v>58</v>
      </c>
      <c r="B59" s="40" t="s">
        <v>199</v>
      </c>
      <c r="C59" s="39" t="s">
        <v>200</v>
      </c>
      <c r="D59" s="39" t="s">
        <v>201</v>
      </c>
      <c r="E59" s="41" t="s">
        <v>690</v>
      </c>
      <c r="F59" s="39" t="s">
        <v>691</v>
      </c>
      <c r="G59" s="39" t="s">
        <v>692</v>
      </c>
      <c r="H59" s="39" t="s">
        <v>349</v>
      </c>
      <c r="I59" s="39" t="s">
        <v>693</v>
      </c>
      <c r="J59" s="39"/>
      <c r="K59" s="42"/>
      <c r="L59" s="42"/>
      <c r="M59" s="39" t="s">
        <v>217</v>
      </c>
      <c r="N59" s="36" t="s">
        <v>106</v>
      </c>
      <c r="O59" s="39"/>
      <c r="P59" s="39"/>
      <c r="Q59" s="36" t="s">
        <v>694</v>
      </c>
      <c r="R59" s="39"/>
      <c r="S59" s="36" t="s">
        <v>322</v>
      </c>
      <c r="T59" s="36" t="s">
        <v>638</v>
      </c>
      <c r="U59" s="36" t="s">
        <v>590</v>
      </c>
      <c r="V59" s="39"/>
      <c r="W59" s="39" t="s">
        <v>695</v>
      </c>
      <c r="X59" s="39"/>
      <c r="Y59" s="39" t="s">
        <v>668</v>
      </c>
      <c r="Z59" s="39" t="s">
        <v>696</v>
      </c>
      <c r="AA59" s="37" t="s">
        <v>216</v>
      </c>
      <c r="AB59" s="38" t="s">
        <v>217</v>
      </c>
      <c r="AC59" s="38" t="s">
        <v>217</v>
      </c>
      <c r="AD59" s="37" t="s">
        <v>216</v>
      </c>
      <c r="AE59" s="38" t="s">
        <v>217</v>
      </c>
      <c r="AF59" s="37" t="s">
        <v>216</v>
      </c>
      <c r="AG59" s="37" t="s">
        <v>216</v>
      </c>
      <c r="AH59" s="37" t="s">
        <v>216</v>
      </c>
      <c r="AI59" s="38" t="s">
        <v>217</v>
      </c>
    </row>
    <row r="60" customFormat="false" ht="57.75" hidden="false" customHeight="true" outlineLevel="0" collapsed="false">
      <c r="A60" s="32" t="n">
        <v>59</v>
      </c>
      <c r="B60" s="34" t="s">
        <v>199</v>
      </c>
      <c r="C60" s="32" t="s">
        <v>200</v>
      </c>
      <c r="D60" s="32" t="s">
        <v>201</v>
      </c>
      <c r="E60" s="31" t="s">
        <v>697</v>
      </c>
      <c r="F60" s="32" t="s">
        <v>474</v>
      </c>
      <c r="G60" s="32" t="s">
        <v>698</v>
      </c>
      <c r="H60" s="32" t="s">
        <v>349</v>
      </c>
      <c r="I60" s="32" t="s">
        <v>693</v>
      </c>
      <c r="J60" s="32"/>
      <c r="K60" s="35"/>
      <c r="L60" s="35"/>
      <c r="M60" s="32" t="s">
        <v>217</v>
      </c>
      <c r="N60" s="36" t="s">
        <v>106</v>
      </c>
      <c r="O60" s="32"/>
      <c r="P60" s="32"/>
      <c r="Q60" s="32"/>
      <c r="R60" s="32"/>
      <c r="S60" s="36" t="s">
        <v>322</v>
      </c>
      <c r="T60" s="32"/>
      <c r="U60" s="32"/>
      <c r="V60" s="32"/>
      <c r="W60" s="32" t="s">
        <v>639</v>
      </c>
      <c r="X60" s="32"/>
      <c r="Y60" s="32" t="s">
        <v>668</v>
      </c>
      <c r="Z60" s="32" t="s">
        <v>699</v>
      </c>
      <c r="AA60" s="37" t="s">
        <v>216</v>
      </c>
      <c r="AB60" s="38" t="s">
        <v>217</v>
      </c>
      <c r="AC60" s="38" t="s">
        <v>217</v>
      </c>
      <c r="AD60" s="38" t="s">
        <v>217</v>
      </c>
      <c r="AE60" s="38" t="s">
        <v>217</v>
      </c>
      <c r="AF60" s="37" t="s">
        <v>216</v>
      </c>
      <c r="AG60" s="38" t="s">
        <v>217</v>
      </c>
      <c r="AH60" s="38" t="s">
        <v>217</v>
      </c>
      <c r="AI60" s="38" t="s">
        <v>217</v>
      </c>
    </row>
    <row r="61" customFormat="false" ht="57.75" hidden="false" customHeight="true" outlineLevel="0" collapsed="false">
      <c r="A61" s="39" t="n">
        <v>60</v>
      </c>
      <c r="B61" s="40" t="s">
        <v>199</v>
      </c>
      <c r="C61" s="39" t="s">
        <v>200</v>
      </c>
      <c r="D61" s="39" t="s">
        <v>201</v>
      </c>
      <c r="E61" s="41" t="s">
        <v>700</v>
      </c>
      <c r="F61" s="39" t="s">
        <v>455</v>
      </c>
      <c r="G61" s="39" t="s">
        <v>701</v>
      </c>
      <c r="H61" s="39" t="s">
        <v>349</v>
      </c>
      <c r="I61" s="39" t="s">
        <v>508</v>
      </c>
      <c r="J61" s="39"/>
      <c r="K61" s="42"/>
      <c r="L61" s="42"/>
      <c r="M61" s="39" t="s">
        <v>217</v>
      </c>
      <c r="N61" s="36" t="s">
        <v>106</v>
      </c>
      <c r="O61" s="39"/>
      <c r="P61" s="36" t="s">
        <v>702</v>
      </c>
      <c r="Q61" s="36" t="s">
        <v>703</v>
      </c>
      <c r="R61" s="39"/>
      <c r="S61" s="39"/>
      <c r="T61" s="39"/>
      <c r="U61" s="36" t="s">
        <v>461</v>
      </c>
      <c r="V61" s="39"/>
      <c r="W61" s="39" t="s">
        <v>656</v>
      </c>
      <c r="X61" s="39"/>
      <c r="Y61" s="39" t="s">
        <v>704</v>
      </c>
      <c r="Z61" s="39" t="s">
        <v>304</v>
      </c>
      <c r="AA61" s="37" t="s">
        <v>216</v>
      </c>
      <c r="AB61" s="38" t="s">
        <v>217</v>
      </c>
      <c r="AC61" s="37" t="s">
        <v>216</v>
      </c>
      <c r="AD61" s="37" t="s">
        <v>216</v>
      </c>
      <c r="AE61" s="38" t="s">
        <v>217</v>
      </c>
      <c r="AF61" s="38" t="s">
        <v>217</v>
      </c>
      <c r="AG61" s="38" t="s">
        <v>217</v>
      </c>
      <c r="AH61" s="37" t="s">
        <v>216</v>
      </c>
      <c r="AI61" s="38" t="s">
        <v>217</v>
      </c>
    </row>
    <row r="62" customFormat="false" ht="57.75" hidden="false" customHeight="true" outlineLevel="0" collapsed="false">
      <c r="A62" s="32" t="n">
        <v>61</v>
      </c>
      <c r="B62" s="34" t="s">
        <v>199</v>
      </c>
      <c r="C62" s="32" t="s">
        <v>200</v>
      </c>
      <c r="D62" s="32" t="s">
        <v>201</v>
      </c>
      <c r="E62" s="31" t="s">
        <v>705</v>
      </c>
      <c r="F62" s="32" t="s">
        <v>682</v>
      </c>
      <c r="G62" s="32" t="s">
        <v>706</v>
      </c>
      <c r="H62" s="32" t="s">
        <v>349</v>
      </c>
      <c r="I62" s="32" t="s">
        <v>707</v>
      </c>
      <c r="J62" s="32" t="s">
        <v>708</v>
      </c>
      <c r="K62" s="35" t="n">
        <v>2065</v>
      </c>
      <c r="L62" s="35" t="n">
        <v>2065</v>
      </c>
      <c r="M62" s="32" t="s">
        <v>217</v>
      </c>
      <c r="N62" s="36" t="s">
        <v>106</v>
      </c>
      <c r="O62" s="32"/>
      <c r="P62" s="32"/>
      <c r="Q62" s="32"/>
      <c r="R62" s="32"/>
      <c r="S62" s="32"/>
      <c r="T62" s="32"/>
      <c r="U62" s="36" t="s">
        <v>687</v>
      </c>
      <c r="V62" s="32"/>
      <c r="W62" s="32" t="s">
        <v>709</v>
      </c>
      <c r="X62" s="32"/>
      <c r="Y62" s="32" t="s">
        <v>704</v>
      </c>
      <c r="Z62" s="32" t="s">
        <v>710</v>
      </c>
      <c r="AA62" s="37" t="s">
        <v>216</v>
      </c>
      <c r="AB62" s="38" t="s">
        <v>217</v>
      </c>
      <c r="AC62" s="38" t="s">
        <v>217</v>
      </c>
      <c r="AD62" s="38" t="s">
        <v>217</v>
      </c>
      <c r="AE62" s="38" t="s">
        <v>217</v>
      </c>
      <c r="AF62" s="38" t="s">
        <v>217</v>
      </c>
      <c r="AG62" s="38" t="s">
        <v>217</v>
      </c>
      <c r="AH62" s="37" t="s">
        <v>216</v>
      </c>
      <c r="AI62" s="38" t="s">
        <v>217</v>
      </c>
    </row>
    <row r="63" customFormat="false" ht="57.75" hidden="false" customHeight="true" outlineLevel="0" collapsed="false">
      <c r="A63" s="39" t="n">
        <v>62</v>
      </c>
      <c r="B63" s="40" t="s">
        <v>199</v>
      </c>
      <c r="C63" s="39" t="s">
        <v>200</v>
      </c>
      <c r="D63" s="39" t="s">
        <v>201</v>
      </c>
      <c r="E63" s="41" t="s">
        <v>711</v>
      </c>
      <c r="F63" s="39" t="s">
        <v>712</v>
      </c>
      <c r="G63" s="39" t="s">
        <v>713</v>
      </c>
      <c r="H63" s="39" t="s">
        <v>349</v>
      </c>
      <c r="I63" s="39" t="s">
        <v>714</v>
      </c>
      <c r="J63" s="39"/>
      <c r="K63" s="42"/>
      <c r="L63" s="42"/>
      <c r="M63" s="39" t="s">
        <v>217</v>
      </c>
      <c r="N63" s="39"/>
      <c r="O63" s="39"/>
      <c r="P63" s="39"/>
      <c r="Q63" s="39"/>
      <c r="R63" s="39"/>
      <c r="S63" s="36" t="s">
        <v>322</v>
      </c>
      <c r="T63" s="39"/>
      <c r="U63" s="36" t="s">
        <v>715</v>
      </c>
      <c r="V63" s="39"/>
      <c r="W63" s="39" t="s">
        <v>716</v>
      </c>
      <c r="X63" s="39"/>
      <c r="Y63" s="39" t="s">
        <v>704</v>
      </c>
      <c r="Z63" s="39" t="s">
        <v>717</v>
      </c>
      <c r="AA63" s="38" t="s">
        <v>217</v>
      </c>
      <c r="AB63" s="38" t="s">
        <v>217</v>
      </c>
      <c r="AC63" s="38" t="s">
        <v>217</v>
      </c>
      <c r="AD63" s="38" t="s">
        <v>217</v>
      </c>
      <c r="AE63" s="38" t="s">
        <v>217</v>
      </c>
      <c r="AF63" s="37" t="s">
        <v>216</v>
      </c>
      <c r="AG63" s="38" t="s">
        <v>217</v>
      </c>
      <c r="AH63" s="37" t="s">
        <v>216</v>
      </c>
      <c r="AI63" s="38" t="s">
        <v>217</v>
      </c>
    </row>
    <row r="64" customFormat="false" ht="57.75" hidden="false" customHeight="true" outlineLevel="0" collapsed="false">
      <c r="A64" s="32" t="n">
        <v>63</v>
      </c>
      <c r="B64" s="34" t="s">
        <v>199</v>
      </c>
      <c r="C64" s="32" t="s">
        <v>200</v>
      </c>
      <c r="D64" s="32" t="s">
        <v>201</v>
      </c>
      <c r="E64" s="31" t="s">
        <v>718</v>
      </c>
      <c r="F64" s="32" t="s">
        <v>719</v>
      </c>
      <c r="G64" s="32" t="s">
        <v>627</v>
      </c>
      <c r="H64" s="32" t="s">
        <v>349</v>
      </c>
      <c r="I64" s="32" t="s">
        <v>720</v>
      </c>
      <c r="J64" s="32"/>
      <c r="K64" s="35"/>
      <c r="L64" s="35"/>
      <c r="M64" s="32" t="s">
        <v>217</v>
      </c>
      <c r="N64" s="32"/>
      <c r="O64" s="32"/>
      <c r="P64" s="32"/>
      <c r="Q64" s="32"/>
      <c r="R64" s="32"/>
      <c r="S64" s="32"/>
      <c r="T64" s="32"/>
      <c r="U64" s="32"/>
      <c r="V64" s="32"/>
      <c r="W64" s="32"/>
      <c r="X64" s="32" t="s">
        <v>721</v>
      </c>
      <c r="Y64" s="32" t="s">
        <v>704</v>
      </c>
      <c r="Z64" s="32" t="s">
        <v>436</v>
      </c>
      <c r="AA64" s="38" t="s">
        <v>217</v>
      </c>
      <c r="AB64" s="38" t="s">
        <v>217</v>
      </c>
      <c r="AC64" s="38" t="s">
        <v>217</v>
      </c>
      <c r="AD64" s="38" t="s">
        <v>217</v>
      </c>
      <c r="AE64" s="38" t="s">
        <v>217</v>
      </c>
      <c r="AF64" s="38" t="s">
        <v>217</v>
      </c>
      <c r="AG64" s="38" t="s">
        <v>217</v>
      </c>
      <c r="AH64" s="38" t="s">
        <v>217</v>
      </c>
      <c r="AI64" s="38" t="s">
        <v>217</v>
      </c>
    </row>
    <row r="65" customFormat="false" ht="57.75" hidden="false" customHeight="true" outlineLevel="0" collapsed="false">
      <c r="A65" s="39" t="n">
        <v>64</v>
      </c>
      <c r="B65" s="40" t="s">
        <v>199</v>
      </c>
      <c r="C65" s="39" t="s">
        <v>200</v>
      </c>
      <c r="D65" s="39" t="s">
        <v>201</v>
      </c>
      <c r="E65" s="41" t="s">
        <v>722</v>
      </c>
      <c r="F65" s="39" t="s">
        <v>474</v>
      </c>
      <c r="G65" s="39" t="s">
        <v>701</v>
      </c>
      <c r="H65" s="39" t="s">
        <v>349</v>
      </c>
      <c r="I65" s="39" t="s">
        <v>723</v>
      </c>
      <c r="J65" s="39"/>
      <c r="K65" s="42"/>
      <c r="L65" s="42"/>
      <c r="M65" s="39" t="s">
        <v>217</v>
      </c>
      <c r="N65" s="36" t="s">
        <v>106</v>
      </c>
      <c r="O65" s="39"/>
      <c r="P65" s="36" t="s">
        <v>637</v>
      </c>
      <c r="Q65" s="36" t="s">
        <v>638</v>
      </c>
      <c r="R65" s="39"/>
      <c r="S65" s="36" t="s">
        <v>724</v>
      </c>
      <c r="T65" s="36" t="s">
        <v>638</v>
      </c>
      <c r="U65" s="36" t="s">
        <v>632</v>
      </c>
      <c r="V65" s="39"/>
      <c r="W65" s="39" t="s">
        <v>725</v>
      </c>
      <c r="X65" s="39"/>
      <c r="Y65" s="39" t="s">
        <v>704</v>
      </c>
      <c r="Z65" s="39" t="s">
        <v>726</v>
      </c>
      <c r="AA65" s="37" t="s">
        <v>216</v>
      </c>
      <c r="AB65" s="38" t="s">
        <v>217</v>
      </c>
      <c r="AC65" s="37" t="s">
        <v>216</v>
      </c>
      <c r="AD65" s="37" t="s">
        <v>216</v>
      </c>
      <c r="AE65" s="38" t="s">
        <v>217</v>
      </c>
      <c r="AF65" s="37" t="s">
        <v>216</v>
      </c>
      <c r="AG65" s="37" t="s">
        <v>216</v>
      </c>
      <c r="AH65" s="37" t="s">
        <v>216</v>
      </c>
      <c r="AI65" s="38" t="s">
        <v>217</v>
      </c>
    </row>
    <row r="66" customFormat="false" ht="57.75" hidden="false" customHeight="true" outlineLevel="0" collapsed="false">
      <c r="A66" s="32" t="n">
        <v>65</v>
      </c>
      <c r="B66" s="34" t="s">
        <v>199</v>
      </c>
      <c r="C66" s="32" t="s">
        <v>200</v>
      </c>
      <c r="D66" s="32" t="s">
        <v>201</v>
      </c>
      <c r="E66" s="31" t="s">
        <v>727</v>
      </c>
      <c r="F66" s="32" t="s">
        <v>728</v>
      </c>
      <c r="G66" s="32" t="s">
        <v>729</v>
      </c>
      <c r="H66" s="32" t="s">
        <v>349</v>
      </c>
      <c r="I66" s="32" t="s">
        <v>730</v>
      </c>
      <c r="J66" s="32" t="s">
        <v>731</v>
      </c>
      <c r="K66" s="35" t="n">
        <v>2730</v>
      </c>
      <c r="L66" s="35" t="n">
        <v>2730</v>
      </c>
      <c r="M66" s="32" t="s">
        <v>217</v>
      </c>
      <c r="N66" s="36" t="s">
        <v>106</v>
      </c>
      <c r="O66" s="32"/>
      <c r="P66" s="32"/>
      <c r="Q66" s="36" t="s">
        <v>732</v>
      </c>
      <c r="R66" s="32"/>
      <c r="S66" s="32"/>
      <c r="T66" s="36" t="s">
        <v>638</v>
      </c>
      <c r="U66" s="36" t="s">
        <v>733</v>
      </c>
      <c r="V66" s="32"/>
      <c r="W66" s="32" t="s">
        <v>734</v>
      </c>
      <c r="X66" s="32"/>
      <c r="Y66" s="32" t="s">
        <v>704</v>
      </c>
      <c r="Z66" s="32" t="s">
        <v>735</v>
      </c>
      <c r="AA66" s="37" t="s">
        <v>216</v>
      </c>
      <c r="AB66" s="38" t="s">
        <v>217</v>
      </c>
      <c r="AC66" s="38" t="s">
        <v>217</v>
      </c>
      <c r="AD66" s="37" t="s">
        <v>216</v>
      </c>
      <c r="AE66" s="38" t="s">
        <v>217</v>
      </c>
      <c r="AF66" s="38" t="s">
        <v>217</v>
      </c>
      <c r="AG66" s="37" t="s">
        <v>216</v>
      </c>
      <c r="AH66" s="37" t="s">
        <v>216</v>
      </c>
      <c r="AI66" s="38" t="s">
        <v>217</v>
      </c>
    </row>
    <row r="67" customFormat="false" ht="57.75" hidden="false" customHeight="true" outlineLevel="0" collapsed="false">
      <c r="A67" s="39" t="n">
        <v>66</v>
      </c>
      <c r="B67" s="40" t="s">
        <v>199</v>
      </c>
      <c r="C67" s="39" t="s">
        <v>200</v>
      </c>
      <c r="D67" s="39" t="s">
        <v>201</v>
      </c>
      <c r="E67" s="41" t="s">
        <v>736</v>
      </c>
      <c r="F67" s="39" t="s">
        <v>737</v>
      </c>
      <c r="G67" s="39" t="s">
        <v>627</v>
      </c>
      <c r="H67" s="39" t="s">
        <v>642</v>
      </c>
      <c r="I67" s="39" t="s">
        <v>738</v>
      </c>
      <c r="J67" s="39" t="s">
        <v>739</v>
      </c>
      <c r="K67" s="42"/>
      <c r="L67" s="42"/>
      <c r="M67" s="39" t="s">
        <v>208</v>
      </c>
      <c r="N67" s="39"/>
      <c r="O67" s="39"/>
      <c r="P67" s="39"/>
      <c r="Q67" s="39"/>
      <c r="R67" s="39"/>
      <c r="S67" s="39"/>
      <c r="T67" s="39"/>
      <c r="U67" s="39"/>
      <c r="V67" s="39"/>
      <c r="W67" s="39" t="s">
        <v>656</v>
      </c>
      <c r="X67" s="39"/>
      <c r="Y67" s="39" t="s">
        <v>740</v>
      </c>
      <c r="Z67" s="39" t="s">
        <v>741</v>
      </c>
      <c r="AA67" s="38" t="s">
        <v>217</v>
      </c>
      <c r="AB67" s="38" t="s">
        <v>217</v>
      </c>
      <c r="AC67" s="38" t="s">
        <v>217</v>
      </c>
      <c r="AD67" s="38" t="s">
        <v>217</v>
      </c>
      <c r="AE67" s="38" t="s">
        <v>217</v>
      </c>
      <c r="AF67" s="38" t="s">
        <v>217</v>
      </c>
      <c r="AG67" s="38" t="s">
        <v>217</v>
      </c>
      <c r="AH67" s="38" t="s">
        <v>217</v>
      </c>
      <c r="AI67" s="38" t="s">
        <v>217</v>
      </c>
    </row>
    <row r="68" customFormat="false" ht="57.75" hidden="false" customHeight="true" outlineLevel="0" collapsed="false">
      <c r="A68" s="32" t="n">
        <v>67</v>
      </c>
      <c r="B68" s="34" t="s">
        <v>199</v>
      </c>
      <c r="C68" s="32" t="s">
        <v>200</v>
      </c>
      <c r="D68" s="32" t="s">
        <v>201</v>
      </c>
      <c r="E68" s="31" t="s">
        <v>742</v>
      </c>
      <c r="F68" s="32" t="s">
        <v>743</v>
      </c>
      <c r="G68" s="32" t="s">
        <v>744</v>
      </c>
      <c r="H68" s="32" t="s">
        <v>349</v>
      </c>
      <c r="I68" s="32" t="s">
        <v>745</v>
      </c>
      <c r="J68" s="32"/>
      <c r="K68" s="35"/>
      <c r="L68" s="35"/>
      <c r="M68" s="32" t="s">
        <v>217</v>
      </c>
      <c r="N68" s="32"/>
      <c r="O68" s="32"/>
      <c r="P68" s="32"/>
      <c r="Q68" s="32"/>
      <c r="R68" s="32"/>
      <c r="S68" s="32"/>
      <c r="T68" s="32"/>
      <c r="U68" s="32"/>
      <c r="V68" s="32"/>
      <c r="W68" s="32"/>
      <c r="X68" s="32" t="s">
        <v>746</v>
      </c>
      <c r="Y68" s="32" t="s">
        <v>747</v>
      </c>
      <c r="Z68" s="32" t="s">
        <v>291</v>
      </c>
      <c r="AA68" s="38" t="s">
        <v>217</v>
      </c>
      <c r="AB68" s="38" t="s">
        <v>217</v>
      </c>
      <c r="AC68" s="38" t="s">
        <v>217</v>
      </c>
      <c r="AD68" s="38" t="s">
        <v>217</v>
      </c>
      <c r="AE68" s="38" t="s">
        <v>217</v>
      </c>
      <c r="AF68" s="38" t="s">
        <v>217</v>
      </c>
      <c r="AG68" s="38" t="s">
        <v>217</v>
      </c>
      <c r="AH68" s="38" t="s">
        <v>217</v>
      </c>
      <c r="AI68" s="38" t="s">
        <v>217</v>
      </c>
    </row>
    <row r="69" customFormat="false" ht="57.75" hidden="false" customHeight="true" outlineLevel="0" collapsed="false">
      <c r="A69" s="39" t="n">
        <v>68</v>
      </c>
      <c r="B69" s="40" t="s">
        <v>199</v>
      </c>
      <c r="C69" s="39" t="s">
        <v>200</v>
      </c>
      <c r="D69" s="39" t="s">
        <v>201</v>
      </c>
      <c r="E69" s="41" t="s">
        <v>748</v>
      </c>
      <c r="F69" s="39" t="s">
        <v>232</v>
      </c>
      <c r="G69" s="39" t="s">
        <v>749</v>
      </c>
      <c r="H69" s="39" t="s">
        <v>642</v>
      </c>
      <c r="I69" s="39" t="s">
        <v>750</v>
      </c>
      <c r="J69" s="39" t="s">
        <v>751</v>
      </c>
      <c r="K69" s="42" t="n">
        <v>6860</v>
      </c>
      <c r="L69" s="42" t="n">
        <v>6860</v>
      </c>
      <c r="M69" s="39" t="s">
        <v>208</v>
      </c>
      <c r="N69" s="39"/>
      <c r="O69" s="39"/>
      <c r="P69" s="36" t="s">
        <v>752</v>
      </c>
      <c r="Q69" s="36" t="s">
        <v>753</v>
      </c>
      <c r="R69" s="39"/>
      <c r="S69" s="36" t="s">
        <v>754</v>
      </c>
      <c r="T69" s="36" t="s">
        <v>755</v>
      </c>
      <c r="U69" s="36" t="s">
        <v>756</v>
      </c>
      <c r="V69" s="39"/>
      <c r="W69" s="39" t="s">
        <v>757</v>
      </c>
      <c r="X69" s="39"/>
      <c r="Y69" s="39" t="s">
        <v>747</v>
      </c>
      <c r="Z69" s="39" t="s">
        <v>436</v>
      </c>
      <c r="AA69" s="38" t="s">
        <v>217</v>
      </c>
      <c r="AB69" s="38" t="s">
        <v>217</v>
      </c>
      <c r="AC69" s="37" t="s">
        <v>216</v>
      </c>
      <c r="AD69" s="37" t="s">
        <v>216</v>
      </c>
      <c r="AE69" s="38" t="s">
        <v>217</v>
      </c>
      <c r="AF69" s="37" t="s">
        <v>216</v>
      </c>
      <c r="AG69" s="37" t="s">
        <v>216</v>
      </c>
      <c r="AH69" s="37" t="s">
        <v>216</v>
      </c>
      <c r="AI69" s="38" t="s">
        <v>217</v>
      </c>
    </row>
    <row r="70" customFormat="false" ht="57.75" hidden="false" customHeight="true" outlineLevel="0" collapsed="false">
      <c r="A70" s="32" t="n">
        <v>69</v>
      </c>
      <c r="B70" s="34" t="s">
        <v>199</v>
      </c>
      <c r="C70" s="32" t="s">
        <v>200</v>
      </c>
      <c r="D70" s="32" t="s">
        <v>201</v>
      </c>
      <c r="E70" s="31" t="s">
        <v>758</v>
      </c>
      <c r="F70" s="32" t="s">
        <v>759</v>
      </c>
      <c r="G70" s="32" t="s">
        <v>760</v>
      </c>
      <c r="H70" s="32" t="s">
        <v>642</v>
      </c>
      <c r="I70" s="32" t="s">
        <v>761</v>
      </c>
      <c r="J70" s="32"/>
      <c r="K70" s="35"/>
      <c r="L70" s="35"/>
      <c r="M70" s="32" t="s">
        <v>208</v>
      </c>
      <c r="N70" s="36" t="s">
        <v>106</v>
      </c>
      <c r="O70" s="32"/>
      <c r="P70" s="36" t="s">
        <v>516</v>
      </c>
      <c r="Q70" s="36" t="s">
        <v>762</v>
      </c>
      <c r="R70" s="32"/>
      <c r="S70" s="36" t="s">
        <v>763</v>
      </c>
      <c r="T70" s="36" t="s">
        <v>755</v>
      </c>
      <c r="U70" s="36" t="s">
        <v>764</v>
      </c>
      <c r="V70" s="32"/>
      <c r="W70" s="32" t="s">
        <v>302</v>
      </c>
      <c r="X70" s="32"/>
      <c r="Y70" s="32" t="s">
        <v>765</v>
      </c>
      <c r="Z70" s="32" t="s">
        <v>541</v>
      </c>
      <c r="AA70" s="37" t="s">
        <v>216</v>
      </c>
      <c r="AB70" s="38" t="s">
        <v>217</v>
      </c>
      <c r="AC70" s="37" t="s">
        <v>216</v>
      </c>
      <c r="AD70" s="37" t="s">
        <v>216</v>
      </c>
      <c r="AE70" s="38" t="s">
        <v>217</v>
      </c>
      <c r="AF70" s="37" t="s">
        <v>216</v>
      </c>
      <c r="AG70" s="37" t="s">
        <v>216</v>
      </c>
      <c r="AH70" s="37" t="s">
        <v>216</v>
      </c>
      <c r="AI70" s="38" t="s">
        <v>217</v>
      </c>
    </row>
    <row r="71" customFormat="false" ht="57.75" hidden="false" customHeight="true" outlineLevel="0" collapsed="false">
      <c r="A71" s="39" t="n">
        <v>70</v>
      </c>
      <c r="B71" s="40" t="s">
        <v>199</v>
      </c>
      <c r="C71" s="39" t="s">
        <v>200</v>
      </c>
      <c r="D71" s="39" t="s">
        <v>201</v>
      </c>
      <c r="E71" s="41" t="s">
        <v>766</v>
      </c>
      <c r="F71" s="39" t="s">
        <v>482</v>
      </c>
      <c r="G71" s="39" t="s">
        <v>767</v>
      </c>
      <c r="H71" s="39" t="s">
        <v>642</v>
      </c>
      <c r="I71" s="39" t="s">
        <v>768</v>
      </c>
      <c r="J71" s="39"/>
      <c r="K71" s="42"/>
      <c r="L71" s="42"/>
      <c r="M71" s="39" t="s">
        <v>208</v>
      </c>
      <c r="N71" s="36" t="s">
        <v>106</v>
      </c>
      <c r="O71" s="39"/>
      <c r="P71" s="39"/>
      <c r="Q71" s="39"/>
      <c r="R71" s="39"/>
      <c r="S71" s="39"/>
      <c r="T71" s="36" t="s">
        <v>755</v>
      </c>
      <c r="U71" s="39"/>
      <c r="V71" s="39"/>
      <c r="W71" s="39" t="s">
        <v>769</v>
      </c>
      <c r="X71" s="39"/>
      <c r="Y71" s="39" t="s">
        <v>765</v>
      </c>
      <c r="Z71" s="39" t="s">
        <v>770</v>
      </c>
      <c r="AA71" s="37" t="s">
        <v>216</v>
      </c>
      <c r="AB71" s="38" t="s">
        <v>217</v>
      </c>
      <c r="AC71" s="38" t="s">
        <v>217</v>
      </c>
      <c r="AD71" s="38" t="s">
        <v>217</v>
      </c>
      <c r="AE71" s="38" t="s">
        <v>217</v>
      </c>
      <c r="AF71" s="38" t="s">
        <v>217</v>
      </c>
      <c r="AG71" s="37" t="s">
        <v>216</v>
      </c>
      <c r="AH71" s="38" t="s">
        <v>217</v>
      </c>
      <c r="AI71" s="38" t="s">
        <v>217</v>
      </c>
    </row>
    <row r="72" customFormat="false" ht="57.75" hidden="false" customHeight="true" outlineLevel="0" collapsed="false">
      <c r="A72" s="32" t="n">
        <v>71</v>
      </c>
      <c r="B72" s="34" t="s">
        <v>199</v>
      </c>
      <c r="C72" s="32" t="s">
        <v>200</v>
      </c>
      <c r="D72" s="32" t="s">
        <v>201</v>
      </c>
      <c r="E72" s="31" t="s">
        <v>771</v>
      </c>
      <c r="F72" s="32" t="s">
        <v>772</v>
      </c>
      <c r="G72" s="32" t="s">
        <v>773</v>
      </c>
      <c r="H72" s="32" t="s">
        <v>642</v>
      </c>
      <c r="I72" s="32" t="s">
        <v>774</v>
      </c>
      <c r="J72" s="32"/>
      <c r="K72" s="35"/>
      <c r="L72" s="35"/>
      <c r="M72" s="32" t="s">
        <v>208</v>
      </c>
      <c r="N72" s="32"/>
      <c r="O72" s="32"/>
      <c r="P72" s="32"/>
      <c r="Q72" s="32"/>
      <c r="R72" s="32"/>
      <c r="S72" s="32"/>
      <c r="T72" s="32"/>
      <c r="U72" s="32"/>
      <c r="V72" s="32"/>
      <c r="W72" s="32"/>
      <c r="X72" s="32" t="s">
        <v>775</v>
      </c>
      <c r="Y72" s="32" t="s">
        <v>765</v>
      </c>
      <c r="Z72" s="32" t="s">
        <v>776</v>
      </c>
      <c r="AA72" s="38" t="s">
        <v>217</v>
      </c>
      <c r="AB72" s="38" t="s">
        <v>217</v>
      </c>
      <c r="AC72" s="38" t="s">
        <v>217</v>
      </c>
      <c r="AD72" s="38" t="s">
        <v>217</v>
      </c>
      <c r="AE72" s="38" t="s">
        <v>217</v>
      </c>
      <c r="AF72" s="38" t="s">
        <v>217</v>
      </c>
      <c r="AG72" s="38" t="s">
        <v>217</v>
      </c>
      <c r="AH72" s="38" t="s">
        <v>217</v>
      </c>
      <c r="AI72" s="38" t="s">
        <v>217</v>
      </c>
    </row>
    <row r="73" customFormat="false" ht="57.75" hidden="false" customHeight="true" outlineLevel="0" collapsed="false">
      <c r="A73" s="39" t="n">
        <v>72</v>
      </c>
      <c r="B73" s="40" t="s">
        <v>199</v>
      </c>
      <c r="C73" s="39" t="s">
        <v>200</v>
      </c>
      <c r="D73" s="39" t="s">
        <v>201</v>
      </c>
      <c r="E73" s="41" t="s">
        <v>777</v>
      </c>
      <c r="F73" s="39" t="s">
        <v>778</v>
      </c>
      <c r="G73" s="39" t="s">
        <v>779</v>
      </c>
      <c r="H73" s="39" t="s">
        <v>205</v>
      </c>
      <c r="I73" s="39" t="s">
        <v>780</v>
      </c>
      <c r="J73" s="39"/>
      <c r="K73" s="42"/>
      <c r="L73" s="42"/>
      <c r="M73" s="39" t="s">
        <v>222</v>
      </c>
      <c r="N73" s="39"/>
      <c r="O73" s="39"/>
      <c r="P73" s="39"/>
      <c r="Q73" s="39"/>
      <c r="R73" s="39"/>
      <c r="S73" s="36" t="s">
        <v>322</v>
      </c>
      <c r="T73" s="36" t="s">
        <v>781</v>
      </c>
      <c r="U73" s="36" t="s">
        <v>782</v>
      </c>
      <c r="V73" s="39"/>
      <c r="W73" s="39" t="s">
        <v>783</v>
      </c>
      <c r="X73" s="39"/>
      <c r="Y73" s="39" t="s">
        <v>765</v>
      </c>
      <c r="Z73" s="39" t="s">
        <v>784</v>
      </c>
      <c r="AA73" s="38" t="s">
        <v>217</v>
      </c>
      <c r="AB73" s="38" t="s">
        <v>217</v>
      </c>
      <c r="AC73" s="38" t="s">
        <v>217</v>
      </c>
      <c r="AD73" s="38" t="s">
        <v>217</v>
      </c>
      <c r="AE73" s="38" t="s">
        <v>217</v>
      </c>
      <c r="AF73" s="37" t="s">
        <v>216</v>
      </c>
      <c r="AG73" s="37" t="s">
        <v>216</v>
      </c>
      <c r="AH73" s="37" t="s">
        <v>216</v>
      </c>
      <c r="AI73" s="38" t="s">
        <v>217</v>
      </c>
    </row>
    <row r="74" customFormat="false" ht="57.75" hidden="false" customHeight="true" outlineLevel="0" collapsed="false">
      <c r="A74" s="32" t="n">
        <v>73</v>
      </c>
      <c r="B74" s="34" t="s">
        <v>199</v>
      </c>
      <c r="C74" s="32" t="s">
        <v>200</v>
      </c>
      <c r="D74" s="32" t="s">
        <v>201</v>
      </c>
      <c r="E74" s="31" t="s">
        <v>785</v>
      </c>
      <c r="F74" s="32" t="s">
        <v>203</v>
      </c>
      <c r="G74" s="32" t="s">
        <v>786</v>
      </c>
      <c r="H74" s="32" t="s">
        <v>642</v>
      </c>
      <c r="I74" s="32" t="s">
        <v>787</v>
      </c>
      <c r="J74" s="32"/>
      <c r="K74" s="35"/>
      <c r="L74" s="35"/>
      <c r="M74" s="32" t="s">
        <v>208</v>
      </c>
      <c r="N74" s="32"/>
      <c r="O74" s="32"/>
      <c r="P74" s="32"/>
      <c r="Q74" s="32"/>
      <c r="R74" s="32"/>
      <c r="S74" s="32"/>
      <c r="T74" s="36" t="s">
        <v>755</v>
      </c>
      <c r="U74" s="36" t="s">
        <v>788</v>
      </c>
      <c r="V74" s="32"/>
      <c r="W74" s="32" t="s">
        <v>789</v>
      </c>
      <c r="X74" s="32"/>
      <c r="Y74" s="32" t="s">
        <v>790</v>
      </c>
      <c r="Z74" s="32" t="s">
        <v>791</v>
      </c>
      <c r="AA74" s="38" t="s">
        <v>217</v>
      </c>
      <c r="AB74" s="38" t="s">
        <v>217</v>
      </c>
      <c r="AC74" s="38" t="s">
        <v>217</v>
      </c>
      <c r="AD74" s="38" t="s">
        <v>217</v>
      </c>
      <c r="AE74" s="38" t="s">
        <v>217</v>
      </c>
      <c r="AF74" s="38" t="s">
        <v>217</v>
      </c>
      <c r="AG74" s="37" t="s">
        <v>216</v>
      </c>
      <c r="AH74" s="37" t="s">
        <v>216</v>
      </c>
      <c r="AI74" s="38" t="s">
        <v>217</v>
      </c>
    </row>
    <row r="75" customFormat="false" ht="57.75" hidden="false" customHeight="true" outlineLevel="0" collapsed="false">
      <c r="A75" s="39" t="n">
        <v>74</v>
      </c>
      <c r="B75" s="40" t="s">
        <v>199</v>
      </c>
      <c r="C75" s="39" t="s">
        <v>200</v>
      </c>
      <c r="D75" s="39" t="s">
        <v>201</v>
      </c>
      <c r="E75" s="41" t="s">
        <v>792</v>
      </c>
      <c r="F75" s="39" t="s">
        <v>793</v>
      </c>
      <c r="G75" s="39" t="s">
        <v>786</v>
      </c>
      <c r="H75" s="39" t="s">
        <v>642</v>
      </c>
      <c r="I75" s="39" t="s">
        <v>794</v>
      </c>
      <c r="J75" s="39"/>
      <c r="K75" s="42"/>
      <c r="L75" s="42"/>
      <c r="M75" s="39" t="s">
        <v>208</v>
      </c>
      <c r="N75" s="39"/>
      <c r="O75" s="39"/>
      <c r="P75" s="39"/>
      <c r="Q75" s="39"/>
      <c r="R75" s="39"/>
      <c r="S75" s="39"/>
      <c r="T75" s="39"/>
      <c r="U75" s="39"/>
      <c r="V75" s="39"/>
      <c r="W75" s="39" t="s">
        <v>795</v>
      </c>
      <c r="X75" s="39"/>
      <c r="Y75" s="39" t="s">
        <v>790</v>
      </c>
      <c r="Z75" s="39" t="s">
        <v>796</v>
      </c>
      <c r="AA75" s="38" t="s">
        <v>217</v>
      </c>
      <c r="AB75" s="38" t="s">
        <v>217</v>
      </c>
      <c r="AC75" s="38" t="s">
        <v>217</v>
      </c>
      <c r="AD75" s="38" t="s">
        <v>217</v>
      </c>
      <c r="AE75" s="38" t="s">
        <v>217</v>
      </c>
      <c r="AF75" s="38" t="s">
        <v>217</v>
      </c>
      <c r="AG75" s="38" t="s">
        <v>217</v>
      </c>
      <c r="AH75" s="38" t="s">
        <v>217</v>
      </c>
      <c r="AI75" s="38" t="s">
        <v>217</v>
      </c>
    </row>
    <row r="76" customFormat="false" ht="57.75" hidden="false" customHeight="true" outlineLevel="0" collapsed="false">
      <c r="A76" s="32" t="n">
        <v>75</v>
      </c>
      <c r="B76" s="34" t="s">
        <v>199</v>
      </c>
      <c r="C76" s="32" t="s">
        <v>200</v>
      </c>
      <c r="D76" s="32" t="s">
        <v>201</v>
      </c>
      <c r="E76" s="31" t="s">
        <v>797</v>
      </c>
      <c r="F76" s="32" t="s">
        <v>535</v>
      </c>
      <c r="G76" s="32" t="s">
        <v>798</v>
      </c>
      <c r="H76" s="32" t="s">
        <v>799</v>
      </c>
      <c r="I76" s="32" t="s">
        <v>800</v>
      </c>
      <c r="J76" s="32"/>
      <c r="K76" s="35"/>
      <c r="L76" s="35"/>
      <c r="M76" s="32" t="s">
        <v>217</v>
      </c>
      <c r="N76" s="36" t="s">
        <v>106</v>
      </c>
      <c r="O76" s="32"/>
      <c r="P76" s="32"/>
      <c r="Q76" s="36" t="s">
        <v>801</v>
      </c>
      <c r="R76" s="32"/>
      <c r="S76" s="36" t="s">
        <v>802</v>
      </c>
      <c r="T76" s="36" t="s">
        <v>801</v>
      </c>
      <c r="U76" s="36" t="s">
        <v>803</v>
      </c>
      <c r="V76" s="32"/>
      <c r="W76" s="32" t="s">
        <v>804</v>
      </c>
      <c r="X76" s="32"/>
      <c r="Y76" s="32" t="s">
        <v>805</v>
      </c>
      <c r="Z76" s="32" t="s">
        <v>806</v>
      </c>
      <c r="AA76" s="37" t="s">
        <v>216</v>
      </c>
      <c r="AB76" s="38" t="s">
        <v>217</v>
      </c>
      <c r="AC76" s="38" t="s">
        <v>217</v>
      </c>
      <c r="AD76" s="37" t="s">
        <v>216</v>
      </c>
      <c r="AE76" s="38" t="s">
        <v>217</v>
      </c>
      <c r="AF76" s="37" t="s">
        <v>216</v>
      </c>
      <c r="AG76" s="37" t="s">
        <v>216</v>
      </c>
      <c r="AH76" s="37" t="s">
        <v>216</v>
      </c>
      <c r="AI76" s="38" t="s">
        <v>217</v>
      </c>
    </row>
    <row r="77" customFormat="false" ht="57.75" hidden="false" customHeight="true" outlineLevel="0" collapsed="false">
      <c r="A77" s="39" t="n">
        <v>76</v>
      </c>
      <c r="B77" s="40" t="s">
        <v>199</v>
      </c>
      <c r="C77" s="39" t="s">
        <v>200</v>
      </c>
      <c r="D77" s="39" t="s">
        <v>201</v>
      </c>
      <c r="E77" s="41" t="s">
        <v>807</v>
      </c>
      <c r="F77" s="39" t="s">
        <v>808</v>
      </c>
      <c r="G77" s="39" t="s">
        <v>809</v>
      </c>
      <c r="H77" s="39" t="s">
        <v>205</v>
      </c>
      <c r="I77" s="39" t="s">
        <v>693</v>
      </c>
      <c r="J77" s="39"/>
      <c r="K77" s="42"/>
      <c r="L77" s="42"/>
      <c r="M77" s="39" t="s">
        <v>222</v>
      </c>
      <c r="N77" s="39"/>
      <c r="O77" s="39"/>
      <c r="P77" s="39"/>
      <c r="Q77" s="39"/>
      <c r="R77" s="39"/>
      <c r="S77" s="39"/>
      <c r="T77" s="36" t="s">
        <v>810</v>
      </c>
      <c r="U77" s="36" t="s">
        <v>811</v>
      </c>
      <c r="V77" s="39"/>
      <c r="W77" s="39" t="s">
        <v>812</v>
      </c>
      <c r="X77" s="39"/>
      <c r="Y77" s="39" t="s">
        <v>805</v>
      </c>
      <c r="Z77" s="39" t="s">
        <v>813</v>
      </c>
      <c r="AA77" s="38" t="s">
        <v>217</v>
      </c>
      <c r="AB77" s="38" t="s">
        <v>217</v>
      </c>
      <c r="AC77" s="38" t="s">
        <v>217</v>
      </c>
      <c r="AD77" s="38" t="s">
        <v>217</v>
      </c>
      <c r="AE77" s="38" t="s">
        <v>217</v>
      </c>
      <c r="AF77" s="38" t="s">
        <v>217</v>
      </c>
      <c r="AG77" s="37" t="s">
        <v>216</v>
      </c>
      <c r="AH77" s="37" t="s">
        <v>216</v>
      </c>
      <c r="AI77" s="38" t="s">
        <v>217</v>
      </c>
    </row>
    <row r="78" customFormat="false" ht="57.75" hidden="false" customHeight="true" outlineLevel="0" collapsed="false">
      <c r="A78" s="32" t="n">
        <v>77</v>
      </c>
      <c r="B78" s="34" t="s">
        <v>199</v>
      </c>
      <c r="C78" s="32" t="s">
        <v>200</v>
      </c>
      <c r="D78" s="32" t="s">
        <v>201</v>
      </c>
      <c r="E78" s="31" t="s">
        <v>814</v>
      </c>
      <c r="F78" s="32" t="s">
        <v>815</v>
      </c>
      <c r="G78" s="32" t="s">
        <v>816</v>
      </c>
      <c r="H78" s="32" t="s">
        <v>349</v>
      </c>
      <c r="I78" s="32" t="s">
        <v>817</v>
      </c>
      <c r="J78" s="32"/>
      <c r="K78" s="35"/>
      <c r="L78" s="35"/>
      <c r="M78" s="32" t="s">
        <v>217</v>
      </c>
      <c r="N78" s="32"/>
      <c r="O78" s="32"/>
      <c r="P78" s="32"/>
      <c r="Q78" s="32"/>
      <c r="R78" s="32"/>
      <c r="S78" s="32"/>
      <c r="T78" s="32"/>
      <c r="U78" s="32"/>
      <c r="V78" s="32"/>
      <c r="W78" s="32" t="s">
        <v>512</v>
      </c>
      <c r="X78" s="32"/>
      <c r="Y78" s="32" t="s">
        <v>805</v>
      </c>
      <c r="Z78" s="32" t="s">
        <v>776</v>
      </c>
      <c r="AA78" s="38" t="s">
        <v>217</v>
      </c>
      <c r="AB78" s="38" t="s">
        <v>217</v>
      </c>
      <c r="AC78" s="38" t="s">
        <v>217</v>
      </c>
      <c r="AD78" s="38" t="s">
        <v>217</v>
      </c>
      <c r="AE78" s="38" t="s">
        <v>217</v>
      </c>
      <c r="AF78" s="38" t="s">
        <v>217</v>
      </c>
      <c r="AG78" s="38" t="s">
        <v>217</v>
      </c>
      <c r="AH78" s="38" t="s">
        <v>217</v>
      </c>
      <c r="AI78" s="38" t="s">
        <v>217</v>
      </c>
    </row>
    <row r="79" customFormat="false" ht="57.75" hidden="false" customHeight="true" outlineLevel="0" collapsed="false">
      <c r="A79" s="39" t="n">
        <v>78</v>
      </c>
      <c r="B79" s="40" t="s">
        <v>199</v>
      </c>
      <c r="C79" s="39" t="s">
        <v>200</v>
      </c>
      <c r="D79" s="39" t="s">
        <v>201</v>
      </c>
      <c r="E79" s="41" t="s">
        <v>818</v>
      </c>
      <c r="F79" s="39" t="s">
        <v>819</v>
      </c>
      <c r="G79" s="39" t="s">
        <v>820</v>
      </c>
      <c r="H79" s="39" t="s">
        <v>349</v>
      </c>
      <c r="I79" s="39" t="s">
        <v>821</v>
      </c>
      <c r="J79" s="39"/>
      <c r="K79" s="42"/>
      <c r="L79" s="42"/>
      <c r="M79" s="39" t="s">
        <v>217</v>
      </c>
      <c r="N79" s="39"/>
      <c r="O79" s="39"/>
      <c r="P79" s="39"/>
      <c r="Q79" s="39"/>
      <c r="R79" s="39"/>
      <c r="S79" s="39"/>
      <c r="T79" s="39"/>
      <c r="U79" s="39"/>
      <c r="V79" s="39"/>
      <c r="W79" s="39" t="s">
        <v>822</v>
      </c>
      <c r="X79" s="39"/>
      <c r="Y79" s="39" t="s">
        <v>823</v>
      </c>
      <c r="Z79" s="39" t="s">
        <v>791</v>
      </c>
      <c r="AA79" s="38" t="s">
        <v>217</v>
      </c>
      <c r="AB79" s="38" t="s">
        <v>217</v>
      </c>
      <c r="AC79" s="38" t="s">
        <v>217</v>
      </c>
      <c r="AD79" s="38" t="s">
        <v>217</v>
      </c>
      <c r="AE79" s="38" t="s">
        <v>217</v>
      </c>
      <c r="AF79" s="38" t="s">
        <v>217</v>
      </c>
      <c r="AG79" s="38" t="s">
        <v>217</v>
      </c>
      <c r="AH79" s="38" t="s">
        <v>217</v>
      </c>
      <c r="AI79" s="38" t="s">
        <v>217</v>
      </c>
    </row>
    <row r="80" customFormat="false" ht="57.75" hidden="false" customHeight="true" outlineLevel="0" collapsed="false">
      <c r="A80" s="32" t="n">
        <v>79</v>
      </c>
      <c r="B80" s="34" t="s">
        <v>199</v>
      </c>
      <c r="C80" s="32" t="s">
        <v>200</v>
      </c>
      <c r="D80" s="32" t="s">
        <v>201</v>
      </c>
      <c r="E80" s="31" t="s">
        <v>824</v>
      </c>
      <c r="F80" s="32" t="s">
        <v>650</v>
      </c>
      <c r="G80" s="32" t="s">
        <v>820</v>
      </c>
      <c r="H80" s="32" t="s">
        <v>349</v>
      </c>
      <c r="I80" s="32" t="s">
        <v>825</v>
      </c>
      <c r="J80" s="32" t="s">
        <v>826</v>
      </c>
      <c r="K80" s="35" t="n">
        <v>2180</v>
      </c>
      <c r="L80" s="35" t="n">
        <v>2180</v>
      </c>
      <c r="M80" s="32" t="s">
        <v>217</v>
      </c>
      <c r="N80" s="32"/>
      <c r="O80" s="32"/>
      <c r="P80" s="32"/>
      <c r="Q80" s="36" t="s">
        <v>827</v>
      </c>
      <c r="R80" s="32"/>
      <c r="S80" s="32"/>
      <c r="T80" s="36" t="s">
        <v>828</v>
      </c>
      <c r="U80" s="32"/>
      <c r="V80" s="36" t="s">
        <v>655</v>
      </c>
      <c r="W80" s="32" t="s">
        <v>302</v>
      </c>
      <c r="X80" s="32"/>
      <c r="Y80" s="32" t="s">
        <v>823</v>
      </c>
      <c r="Z80" s="32" t="s">
        <v>829</v>
      </c>
      <c r="AA80" s="38" t="s">
        <v>217</v>
      </c>
      <c r="AB80" s="38" t="s">
        <v>217</v>
      </c>
      <c r="AC80" s="38" t="s">
        <v>217</v>
      </c>
      <c r="AD80" s="37" t="s">
        <v>216</v>
      </c>
      <c r="AE80" s="38" t="s">
        <v>217</v>
      </c>
      <c r="AF80" s="38" t="s">
        <v>217</v>
      </c>
      <c r="AG80" s="37" t="s">
        <v>216</v>
      </c>
      <c r="AH80" s="38" t="s">
        <v>217</v>
      </c>
      <c r="AI80" s="37" t="s">
        <v>216</v>
      </c>
    </row>
    <row r="81" customFormat="false" ht="57.75" hidden="false" customHeight="true" outlineLevel="0" collapsed="false">
      <c r="A81" s="39" t="n">
        <v>80</v>
      </c>
      <c r="B81" s="40" t="s">
        <v>199</v>
      </c>
      <c r="C81" s="39" t="s">
        <v>200</v>
      </c>
      <c r="D81" s="39" t="s">
        <v>201</v>
      </c>
      <c r="E81" s="41" t="s">
        <v>830</v>
      </c>
      <c r="F81" s="39" t="s">
        <v>465</v>
      </c>
      <c r="G81" s="39" t="s">
        <v>820</v>
      </c>
      <c r="H81" s="39" t="s">
        <v>642</v>
      </c>
      <c r="I81" s="39" t="s">
        <v>831</v>
      </c>
      <c r="J81" s="39"/>
      <c r="K81" s="42"/>
      <c r="L81" s="42"/>
      <c r="M81" s="39" t="s">
        <v>208</v>
      </c>
      <c r="N81" s="39"/>
      <c r="O81" s="39"/>
      <c r="P81" s="39"/>
      <c r="Q81" s="39"/>
      <c r="R81" s="39"/>
      <c r="S81" s="39"/>
      <c r="T81" s="39"/>
      <c r="U81" s="36" t="s">
        <v>832</v>
      </c>
      <c r="V81" s="39"/>
      <c r="W81" s="39" t="s">
        <v>833</v>
      </c>
      <c r="X81" s="39"/>
      <c r="Y81" s="39" t="s">
        <v>823</v>
      </c>
      <c r="Z81" s="39" t="s">
        <v>710</v>
      </c>
      <c r="AA81" s="38" t="s">
        <v>217</v>
      </c>
      <c r="AB81" s="38" t="s">
        <v>217</v>
      </c>
      <c r="AC81" s="38" t="s">
        <v>217</v>
      </c>
      <c r="AD81" s="38" t="s">
        <v>217</v>
      </c>
      <c r="AE81" s="38" t="s">
        <v>217</v>
      </c>
      <c r="AF81" s="38" t="s">
        <v>217</v>
      </c>
      <c r="AG81" s="38" t="s">
        <v>217</v>
      </c>
      <c r="AH81" s="37" t="s">
        <v>216</v>
      </c>
      <c r="AI81" s="38" t="s">
        <v>217</v>
      </c>
    </row>
    <row r="82" customFormat="false" ht="57.75" hidden="false" customHeight="true" outlineLevel="0" collapsed="false">
      <c r="A82" s="32" t="n">
        <v>81</v>
      </c>
      <c r="B82" s="34" t="s">
        <v>199</v>
      </c>
      <c r="C82" s="32" t="s">
        <v>200</v>
      </c>
      <c r="D82" s="32" t="s">
        <v>201</v>
      </c>
      <c r="E82" s="31" t="s">
        <v>834</v>
      </c>
      <c r="F82" s="32" t="s">
        <v>682</v>
      </c>
      <c r="G82" s="32" t="s">
        <v>820</v>
      </c>
      <c r="H82" s="32" t="s">
        <v>349</v>
      </c>
      <c r="I82" s="32" t="s">
        <v>835</v>
      </c>
      <c r="J82" s="32"/>
      <c r="K82" s="35"/>
      <c r="L82" s="35"/>
      <c r="M82" s="32" t="s">
        <v>217</v>
      </c>
      <c r="N82" s="36" t="s">
        <v>106</v>
      </c>
      <c r="O82" s="32"/>
      <c r="P82" s="32"/>
      <c r="Q82" s="32"/>
      <c r="R82" s="32"/>
      <c r="S82" s="32"/>
      <c r="T82" s="36" t="s">
        <v>755</v>
      </c>
      <c r="U82" s="36" t="s">
        <v>836</v>
      </c>
      <c r="V82" s="32"/>
      <c r="W82" s="32" t="s">
        <v>837</v>
      </c>
      <c r="X82" s="32"/>
      <c r="Y82" s="32" t="s">
        <v>823</v>
      </c>
      <c r="Z82" s="32" t="s">
        <v>304</v>
      </c>
      <c r="AA82" s="37" t="s">
        <v>216</v>
      </c>
      <c r="AB82" s="38" t="s">
        <v>217</v>
      </c>
      <c r="AC82" s="38" t="s">
        <v>217</v>
      </c>
      <c r="AD82" s="38" t="s">
        <v>217</v>
      </c>
      <c r="AE82" s="38" t="s">
        <v>217</v>
      </c>
      <c r="AF82" s="38" t="s">
        <v>217</v>
      </c>
      <c r="AG82" s="37" t="s">
        <v>216</v>
      </c>
      <c r="AH82" s="37" t="s">
        <v>216</v>
      </c>
      <c r="AI82" s="38" t="s">
        <v>217</v>
      </c>
    </row>
    <row r="83" customFormat="false" ht="57.75" hidden="false" customHeight="true" outlineLevel="0" collapsed="false">
      <c r="A83" s="39" t="n">
        <v>82</v>
      </c>
      <c r="B83" s="40" t="s">
        <v>199</v>
      </c>
      <c r="C83" s="39" t="s">
        <v>200</v>
      </c>
      <c r="D83" s="39" t="s">
        <v>201</v>
      </c>
      <c r="E83" s="41" t="s">
        <v>838</v>
      </c>
      <c r="F83" s="39" t="s">
        <v>839</v>
      </c>
      <c r="G83" s="39" t="s">
        <v>820</v>
      </c>
      <c r="H83" s="39" t="s">
        <v>642</v>
      </c>
      <c r="I83" s="39" t="s">
        <v>840</v>
      </c>
      <c r="J83" s="39" t="s">
        <v>841</v>
      </c>
      <c r="K83" s="42" t="n">
        <v>1575</v>
      </c>
      <c r="L83" s="42" t="n">
        <v>1575</v>
      </c>
      <c r="M83" s="39" t="s">
        <v>208</v>
      </c>
      <c r="N83" s="39"/>
      <c r="O83" s="39"/>
      <c r="P83" s="39"/>
      <c r="Q83" s="39"/>
      <c r="R83" s="39"/>
      <c r="S83" s="39"/>
      <c r="T83" s="36" t="s">
        <v>755</v>
      </c>
      <c r="U83" s="36" t="s">
        <v>632</v>
      </c>
      <c r="V83" s="39"/>
      <c r="W83" s="39" t="s">
        <v>842</v>
      </c>
      <c r="X83" s="39" t="s">
        <v>843</v>
      </c>
      <c r="Y83" s="39" t="s">
        <v>823</v>
      </c>
      <c r="Z83" s="39" t="s">
        <v>844</v>
      </c>
      <c r="AA83" s="38" t="s">
        <v>217</v>
      </c>
      <c r="AB83" s="38" t="s">
        <v>217</v>
      </c>
      <c r="AC83" s="38" t="s">
        <v>217</v>
      </c>
      <c r="AD83" s="38" t="s">
        <v>217</v>
      </c>
      <c r="AE83" s="38" t="s">
        <v>217</v>
      </c>
      <c r="AF83" s="38" t="s">
        <v>217</v>
      </c>
      <c r="AG83" s="37" t="s">
        <v>216</v>
      </c>
      <c r="AH83" s="37" t="s">
        <v>216</v>
      </c>
      <c r="AI83" s="38" t="s">
        <v>217</v>
      </c>
    </row>
    <row r="84" customFormat="false" ht="57.75" hidden="false" customHeight="true" outlineLevel="0" collapsed="false">
      <c r="A84" s="32" t="n">
        <v>83</v>
      </c>
      <c r="B84" s="34" t="s">
        <v>199</v>
      </c>
      <c r="C84" s="32" t="s">
        <v>200</v>
      </c>
      <c r="D84" s="32" t="s">
        <v>201</v>
      </c>
      <c r="E84" s="31" t="s">
        <v>845</v>
      </c>
      <c r="F84" s="32" t="s">
        <v>846</v>
      </c>
      <c r="G84" s="32" t="s">
        <v>847</v>
      </c>
      <c r="H84" s="32" t="s">
        <v>642</v>
      </c>
      <c r="I84" s="32" t="s">
        <v>848</v>
      </c>
      <c r="J84" s="32"/>
      <c r="K84" s="35"/>
      <c r="L84" s="35"/>
      <c r="M84" s="32" t="s">
        <v>208</v>
      </c>
      <c r="N84" s="32"/>
      <c r="O84" s="32"/>
      <c r="P84" s="32"/>
      <c r="Q84" s="32"/>
      <c r="R84" s="32"/>
      <c r="S84" s="36" t="s">
        <v>849</v>
      </c>
      <c r="T84" s="32"/>
      <c r="U84" s="36" t="s">
        <v>850</v>
      </c>
      <c r="V84" s="32"/>
      <c r="W84" s="32" t="s">
        <v>656</v>
      </c>
      <c r="X84" s="32"/>
      <c r="Y84" s="32"/>
      <c r="Z84" s="32" t="s">
        <v>829</v>
      </c>
      <c r="AA84" s="38" t="s">
        <v>217</v>
      </c>
      <c r="AB84" s="38" t="s">
        <v>217</v>
      </c>
      <c r="AC84" s="38" t="s">
        <v>217</v>
      </c>
      <c r="AD84" s="38" t="s">
        <v>217</v>
      </c>
      <c r="AE84" s="38" t="s">
        <v>217</v>
      </c>
      <c r="AF84" s="37" t="s">
        <v>216</v>
      </c>
      <c r="AG84" s="38" t="s">
        <v>217</v>
      </c>
      <c r="AH84" s="37" t="s">
        <v>216</v>
      </c>
      <c r="AI84" s="38" t="s">
        <v>217</v>
      </c>
    </row>
    <row r="85" customFormat="false" ht="57.75" hidden="false" customHeight="true" outlineLevel="0" collapsed="false">
      <c r="A85" s="39" t="n">
        <v>84</v>
      </c>
      <c r="B85" s="40" t="s">
        <v>199</v>
      </c>
      <c r="C85" s="39" t="s">
        <v>200</v>
      </c>
      <c r="D85" s="39" t="s">
        <v>201</v>
      </c>
      <c r="E85" s="41" t="s">
        <v>851</v>
      </c>
      <c r="F85" s="39" t="s">
        <v>293</v>
      </c>
      <c r="G85" s="39" t="s">
        <v>852</v>
      </c>
      <c r="H85" s="39" t="s">
        <v>349</v>
      </c>
      <c r="I85" s="39" t="s">
        <v>853</v>
      </c>
      <c r="J85" s="39"/>
      <c r="K85" s="42"/>
      <c r="L85" s="42"/>
      <c r="M85" s="39" t="s">
        <v>217</v>
      </c>
      <c r="N85" s="36" t="s">
        <v>106</v>
      </c>
      <c r="O85" s="39"/>
      <c r="P85" s="39"/>
      <c r="Q85" s="39"/>
      <c r="R85" s="39"/>
      <c r="S85" s="36" t="s">
        <v>322</v>
      </c>
      <c r="T85" s="36" t="s">
        <v>854</v>
      </c>
      <c r="U85" s="36" t="s">
        <v>855</v>
      </c>
      <c r="V85" s="39"/>
      <c r="W85" s="39" t="s">
        <v>856</v>
      </c>
      <c r="X85" s="39"/>
      <c r="Y85" s="39"/>
      <c r="Z85" s="39" t="s">
        <v>857</v>
      </c>
      <c r="AA85" s="37" t="s">
        <v>216</v>
      </c>
      <c r="AB85" s="38" t="s">
        <v>217</v>
      </c>
      <c r="AC85" s="38" t="s">
        <v>217</v>
      </c>
      <c r="AD85" s="38" t="s">
        <v>217</v>
      </c>
      <c r="AE85" s="38" t="s">
        <v>217</v>
      </c>
      <c r="AF85" s="37" t="s">
        <v>216</v>
      </c>
      <c r="AG85" s="37" t="s">
        <v>216</v>
      </c>
      <c r="AH85" s="37" t="s">
        <v>216</v>
      </c>
      <c r="AI85" s="38" t="s">
        <v>217</v>
      </c>
    </row>
    <row r="86" customFormat="false" ht="57.75" hidden="false" customHeight="true" outlineLevel="0" collapsed="false">
      <c r="A86" s="32" t="n">
        <v>85</v>
      </c>
      <c r="B86" s="34" t="s">
        <v>199</v>
      </c>
      <c r="C86" s="32" t="s">
        <v>200</v>
      </c>
      <c r="D86" s="32" t="s">
        <v>201</v>
      </c>
      <c r="E86" s="31" t="s">
        <v>858</v>
      </c>
      <c r="F86" s="32" t="s">
        <v>859</v>
      </c>
      <c r="G86" s="32" t="s">
        <v>860</v>
      </c>
      <c r="H86" s="32" t="s">
        <v>349</v>
      </c>
      <c r="I86" s="32" t="s">
        <v>861</v>
      </c>
      <c r="J86" s="32"/>
      <c r="K86" s="35"/>
      <c r="L86" s="35"/>
      <c r="M86" s="32" t="s">
        <v>217</v>
      </c>
      <c r="N86" s="32"/>
      <c r="O86" s="32"/>
      <c r="P86" s="32"/>
      <c r="Q86" s="32"/>
      <c r="R86" s="32"/>
      <c r="S86" s="32"/>
      <c r="T86" s="32"/>
      <c r="U86" s="36" t="s">
        <v>862</v>
      </c>
      <c r="V86" s="32"/>
      <c r="W86" s="32" t="s">
        <v>863</v>
      </c>
      <c r="X86" s="32"/>
      <c r="Y86" s="32"/>
      <c r="Z86" s="32" t="s">
        <v>864</v>
      </c>
      <c r="AA86" s="38" t="s">
        <v>217</v>
      </c>
      <c r="AB86" s="38" t="s">
        <v>217</v>
      </c>
      <c r="AC86" s="38" t="s">
        <v>217</v>
      </c>
      <c r="AD86" s="38" t="s">
        <v>217</v>
      </c>
      <c r="AE86" s="38" t="s">
        <v>217</v>
      </c>
      <c r="AF86" s="38" t="s">
        <v>217</v>
      </c>
      <c r="AG86" s="38" t="s">
        <v>217</v>
      </c>
      <c r="AH86" s="37" t="s">
        <v>216</v>
      </c>
      <c r="AI86" s="38" t="s">
        <v>217</v>
      </c>
    </row>
    <row r="87" customFormat="false" ht="57.75" hidden="false" customHeight="true" outlineLevel="0" collapsed="false">
      <c r="A87" s="39" t="n">
        <v>86</v>
      </c>
      <c r="B87" s="40" t="s">
        <v>199</v>
      </c>
      <c r="C87" s="39" t="s">
        <v>200</v>
      </c>
      <c r="D87" s="39" t="s">
        <v>201</v>
      </c>
      <c r="E87" s="41" t="s">
        <v>865</v>
      </c>
      <c r="F87" s="39" t="s">
        <v>865</v>
      </c>
      <c r="G87" s="39" t="s">
        <v>866</v>
      </c>
      <c r="H87" s="39" t="s">
        <v>642</v>
      </c>
      <c r="I87" s="39" t="s">
        <v>867</v>
      </c>
      <c r="J87" s="39"/>
      <c r="K87" s="42"/>
      <c r="L87" s="42"/>
      <c r="M87" s="39" t="s">
        <v>208</v>
      </c>
      <c r="N87" s="39"/>
      <c r="O87" s="39"/>
      <c r="P87" s="39"/>
      <c r="Q87" s="39"/>
      <c r="R87" s="39"/>
      <c r="S87" s="39"/>
      <c r="T87" s="36" t="s">
        <v>868</v>
      </c>
      <c r="U87" s="36" t="s">
        <v>869</v>
      </c>
      <c r="V87" s="39"/>
      <c r="W87" s="39" t="s">
        <v>870</v>
      </c>
      <c r="X87" s="39"/>
      <c r="Y87" s="39" t="s">
        <v>871</v>
      </c>
      <c r="Z87" s="39" t="s">
        <v>872</v>
      </c>
      <c r="AA87" s="38" t="s">
        <v>217</v>
      </c>
      <c r="AB87" s="38" t="s">
        <v>217</v>
      </c>
      <c r="AC87" s="38" t="s">
        <v>217</v>
      </c>
      <c r="AD87" s="38" t="s">
        <v>217</v>
      </c>
      <c r="AE87" s="38" t="s">
        <v>217</v>
      </c>
      <c r="AF87" s="38" t="s">
        <v>217</v>
      </c>
      <c r="AG87" s="37" t="s">
        <v>216</v>
      </c>
      <c r="AH87" s="37" t="s">
        <v>216</v>
      </c>
      <c r="AI87" s="38" t="s">
        <v>217</v>
      </c>
    </row>
    <row r="88" customFormat="false" ht="57.75" hidden="false" customHeight="true" outlineLevel="0" collapsed="false">
      <c r="A88" s="32" t="n">
        <v>87</v>
      </c>
      <c r="B88" s="34" t="s">
        <v>199</v>
      </c>
      <c r="C88" s="32" t="s">
        <v>200</v>
      </c>
      <c r="D88" s="32" t="s">
        <v>201</v>
      </c>
      <c r="E88" s="31" t="s">
        <v>873</v>
      </c>
      <c r="F88" s="32" t="s">
        <v>650</v>
      </c>
      <c r="G88" s="32" t="s">
        <v>627</v>
      </c>
      <c r="H88" s="32" t="s">
        <v>349</v>
      </c>
      <c r="I88" s="32" t="s">
        <v>874</v>
      </c>
      <c r="J88" s="32" t="s">
        <v>875</v>
      </c>
      <c r="K88" s="35" t="n">
        <v>2315</v>
      </c>
      <c r="L88" s="35" t="n">
        <v>2315</v>
      </c>
      <c r="M88" s="32" t="s">
        <v>217</v>
      </c>
      <c r="N88" s="32"/>
      <c r="O88" s="32"/>
      <c r="P88" s="36" t="s">
        <v>876</v>
      </c>
      <c r="Q88" s="36" t="s">
        <v>877</v>
      </c>
      <c r="R88" s="32"/>
      <c r="S88" s="32"/>
      <c r="T88" s="36" t="s">
        <v>878</v>
      </c>
      <c r="U88" s="32"/>
      <c r="V88" s="36" t="s">
        <v>655</v>
      </c>
      <c r="W88" s="32" t="s">
        <v>879</v>
      </c>
      <c r="X88" s="32"/>
      <c r="Y88" s="32" t="s">
        <v>880</v>
      </c>
      <c r="Z88" s="32" t="s">
        <v>316</v>
      </c>
      <c r="AA88" s="38" t="s">
        <v>217</v>
      </c>
      <c r="AB88" s="38" t="s">
        <v>217</v>
      </c>
      <c r="AC88" s="37" t="s">
        <v>216</v>
      </c>
      <c r="AD88" s="37" t="s">
        <v>216</v>
      </c>
      <c r="AE88" s="38" t="s">
        <v>217</v>
      </c>
      <c r="AF88" s="38" t="s">
        <v>217</v>
      </c>
      <c r="AG88" s="37" t="s">
        <v>216</v>
      </c>
      <c r="AH88" s="38" t="s">
        <v>217</v>
      </c>
      <c r="AI88" s="37" t="s">
        <v>216</v>
      </c>
    </row>
    <row r="89" customFormat="false" ht="57.75" hidden="false" customHeight="true" outlineLevel="0" collapsed="false">
      <c r="A89" s="39" t="n">
        <v>88</v>
      </c>
      <c r="B89" s="40" t="s">
        <v>199</v>
      </c>
      <c r="C89" s="39" t="s">
        <v>200</v>
      </c>
      <c r="D89" s="39" t="s">
        <v>201</v>
      </c>
      <c r="E89" s="41" t="s">
        <v>881</v>
      </c>
      <c r="F89" s="39" t="s">
        <v>882</v>
      </c>
      <c r="G89" s="39" t="s">
        <v>883</v>
      </c>
      <c r="H89" s="39" t="s">
        <v>642</v>
      </c>
      <c r="I89" s="39" t="s">
        <v>884</v>
      </c>
      <c r="J89" s="39"/>
      <c r="K89" s="42"/>
      <c r="L89" s="42"/>
      <c r="M89" s="39" t="s">
        <v>208</v>
      </c>
      <c r="N89" s="39"/>
      <c r="O89" s="39"/>
      <c r="P89" s="39"/>
      <c r="Q89" s="39"/>
      <c r="R89" s="39"/>
      <c r="S89" s="39"/>
      <c r="T89" s="36" t="s">
        <v>755</v>
      </c>
      <c r="U89" s="36" t="s">
        <v>885</v>
      </c>
      <c r="V89" s="39"/>
      <c r="W89" s="39" t="s">
        <v>695</v>
      </c>
      <c r="X89" s="39"/>
      <c r="Y89" s="39" t="s">
        <v>880</v>
      </c>
      <c r="Z89" s="39" t="s">
        <v>886</v>
      </c>
      <c r="AA89" s="38" t="s">
        <v>217</v>
      </c>
      <c r="AB89" s="38" t="s">
        <v>217</v>
      </c>
      <c r="AC89" s="38" t="s">
        <v>217</v>
      </c>
      <c r="AD89" s="38" t="s">
        <v>217</v>
      </c>
      <c r="AE89" s="38" t="s">
        <v>217</v>
      </c>
      <c r="AF89" s="38" t="s">
        <v>217</v>
      </c>
      <c r="AG89" s="37" t="s">
        <v>216</v>
      </c>
      <c r="AH89" s="37" t="s">
        <v>216</v>
      </c>
      <c r="AI89" s="38" t="s">
        <v>217</v>
      </c>
    </row>
    <row r="90" customFormat="false" ht="57.75" hidden="false" customHeight="true" outlineLevel="0" collapsed="false">
      <c r="A90" s="32" t="n">
        <v>89</v>
      </c>
      <c r="B90" s="34" t="s">
        <v>199</v>
      </c>
      <c r="C90" s="32" t="s">
        <v>200</v>
      </c>
      <c r="D90" s="32" t="s">
        <v>201</v>
      </c>
      <c r="E90" s="31" t="s">
        <v>887</v>
      </c>
      <c r="F90" s="32" t="s">
        <v>203</v>
      </c>
      <c r="G90" s="32" t="s">
        <v>888</v>
      </c>
      <c r="H90" s="32" t="s">
        <v>642</v>
      </c>
      <c r="I90" s="32" t="s">
        <v>889</v>
      </c>
      <c r="J90" s="32"/>
      <c r="K90" s="35"/>
      <c r="L90" s="35"/>
      <c r="M90" s="32" t="s">
        <v>208</v>
      </c>
      <c r="N90" s="32"/>
      <c r="O90" s="32"/>
      <c r="P90" s="32"/>
      <c r="Q90" s="32"/>
      <c r="R90" s="32"/>
      <c r="S90" s="36" t="s">
        <v>212</v>
      </c>
      <c r="T90" s="36" t="s">
        <v>559</v>
      </c>
      <c r="U90" s="36" t="s">
        <v>890</v>
      </c>
      <c r="V90" s="32"/>
      <c r="W90" s="32" t="s">
        <v>891</v>
      </c>
      <c r="X90" s="32"/>
      <c r="Y90" s="32" t="s">
        <v>880</v>
      </c>
      <c r="Z90" s="32" t="s">
        <v>892</v>
      </c>
      <c r="AA90" s="38" t="s">
        <v>217</v>
      </c>
      <c r="AB90" s="38" t="s">
        <v>217</v>
      </c>
      <c r="AC90" s="38" t="s">
        <v>217</v>
      </c>
      <c r="AD90" s="38" t="s">
        <v>217</v>
      </c>
      <c r="AE90" s="38" t="s">
        <v>217</v>
      </c>
      <c r="AF90" s="37" t="s">
        <v>216</v>
      </c>
      <c r="AG90" s="37" t="s">
        <v>216</v>
      </c>
      <c r="AH90" s="37" t="s">
        <v>216</v>
      </c>
      <c r="AI90" s="38" t="s">
        <v>217</v>
      </c>
    </row>
    <row r="91" customFormat="false" ht="57.75" hidden="false" customHeight="true" outlineLevel="0" collapsed="false">
      <c r="A91" s="39" t="n">
        <v>90</v>
      </c>
      <c r="B91" s="40" t="s">
        <v>199</v>
      </c>
      <c r="C91" s="39" t="s">
        <v>200</v>
      </c>
      <c r="D91" s="39" t="s">
        <v>201</v>
      </c>
      <c r="E91" s="41" t="s">
        <v>893</v>
      </c>
      <c r="F91" s="39" t="s">
        <v>894</v>
      </c>
      <c r="G91" s="39" t="s">
        <v>883</v>
      </c>
      <c r="H91" s="39" t="s">
        <v>205</v>
      </c>
      <c r="I91" s="39" t="s">
        <v>895</v>
      </c>
      <c r="J91" s="39"/>
      <c r="K91" s="42"/>
      <c r="L91" s="42"/>
      <c r="M91" s="39" t="s">
        <v>222</v>
      </c>
      <c r="N91" s="39"/>
      <c r="O91" s="39"/>
      <c r="P91" s="39"/>
      <c r="Q91" s="39"/>
      <c r="R91" s="39"/>
      <c r="S91" s="36" t="s">
        <v>896</v>
      </c>
      <c r="T91" s="36" t="s">
        <v>755</v>
      </c>
      <c r="U91" s="36" t="s">
        <v>897</v>
      </c>
      <c r="V91" s="39"/>
      <c r="W91" s="39" t="s">
        <v>898</v>
      </c>
      <c r="X91" s="39"/>
      <c r="Y91" s="39"/>
      <c r="Z91" s="39" t="s">
        <v>899</v>
      </c>
      <c r="AA91" s="38" t="s">
        <v>217</v>
      </c>
      <c r="AB91" s="38" t="s">
        <v>217</v>
      </c>
      <c r="AC91" s="38" t="s">
        <v>217</v>
      </c>
      <c r="AD91" s="38" t="s">
        <v>217</v>
      </c>
      <c r="AE91" s="38" t="s">
        <v>217</v>
      </c>
      <c r="AF91" s="37" t="s">
        <v>216</v>
      </c>
      <c r="AG91" s="37" t="s">
        <v>216</v>
      </c>
      <c r="AH91" s="37" t="s">
        <v>216</v>
      </c>
      <c r="AI91" s="38" t="s">
        <v>217</v>
      </c>
    </row>
    <row r="92" customFormat="false" ht="57.75" hidden="false" customHeight="true" outlineLevel="0" collapsed="false">
      <c r="A92" s="32" t="n">
        <v>91</v>
      </c>
      <c r="B92" s="34" t="s">
        <v>199</v>
      </c>
      <c r="C92" s="32" t="s">
        <v>200</v>
      </c>
      <c r="D92" s="32" t="s">
        <v>201</v>
      </c>
      <c r="E92" s="31" t="s">
        <v>900</v>
      </c>
      <c r="F92" s="32" t="s">
        <v>682</v>
      </c>
      <c r="G92" s="32" t="s">
        <v>627</v>
      </c>
      <c r="H92" s="32" t="s">
        <v>901</v>
      </c>
      <c r="I92" s="32" t="s">
        <v>902</v>
      </c>
      <c r="J92" s="32" t="s">
        <v>903</v>
      </c>
      <c r="K92" s="35" t="n">
        <v>1865</v>
      </c>
      <c r="L92" s="35" t="n">
        <v>1865</v>
      </c>
      <c r="M92" s="32" t="s">
        <v>217</v>
      </c>
      <c r="N92" s="36" t="s">
        <v>106</v>
      </c>
      <c r="O92" s="32"/>
      <c r="P92" s="32"/>
      <c r="Q92" s="32"/>
      <c r="R92" s="32"/>
      <c r="S92" s="32"/>
      <c r="T92" s="36" t="s">
        <v>755</v>
      </c>
      <c r="U92" s="36" t="s">
        <v>904</v>
      </c>
      <c r="V92" s="32"/>
      <c r="W92" s="32"/>
      <c r="X92" s="32"/>
      <c r="Y92" s="32"/>
      <c r="Z92" s="32" t="s">
        <v>273</v>
      </c>
      <c r="AA92" s="37" t="s">
        <v>216</v>
      </c>
      <c r="AB92" s="38" t="s">
        <v>217</v>
      </c>
      <c r="AC92" s="38" t="s">
        <v>217</v>
      </c>
      <c r="AD92" s="38" t="s">
        <v>217</v>
      </c>
      <c r="AE92" s="38" t="s">
        <v>217</v>
      </c>
      <c r="AF92" s="38" t="s">
        <v>217</v>
      </c>
      <c r="AG92" s="37" t="s">
        <v>216</v>
      </c>
      <c r="AH92" s="37" t="s">
        <v>216</v>
      </c>
      <c r="AI92" s="38" t="s">
        <v>217</v>
      </c>
    </row>
    <row r="93" customFormat="false" ht="57.75" hidden="false" customHeight="true" outlineLevel="0" collapsed="false">
      <c r="A93" s="39" t="n">
        <v>92</v>
      </c>
      <c r="B93" s="40" t="s">
        <v>199</v>
      </c>
      <c r="C93" s="39" t="s">
        <v>200</v>
      </c>
      <c r="D93" s="39" t="s">
        <v>201</v>
      </c>
      <c r="E93" s="41" t="s">
        <v>905</v>
      </c>
      <c r="F93" s="39" t="s">
        <v>691</v>
      </c>
      <c r="G93" s="39" t="s">
        <v>627</v>
      </c>
      <c r="H93" s="39" t="s">
        <v>901</v>
      </c>
      <c r="I93" s="39" t="s">
        <v>906</v>
      </c>
      <c r="J93" s="39"/>
      <c r="K93" s="42"/>
      <c r="L93" s="42"/>
      <c r="M93" s="39" t="s">
        <v>217</v>
      </c>
      <c r="N93" s="36" t="s">
        <v>106</v>
      </c>
      <c r="O93" s="39"/>
      <c r="P93" s="36" t="s">
        <v>224</v>
      </c>
      <c r="Q93" s="36" t="s">
        <v>907</v>
      </c>
      <c r="R93" s="39"/>
      <c r="S93" s="36" t="s">
        <v>212</v>
      </c>
      <c r="T93" s="39"/>
      <c r="U93" s="36" t="s">
        <v>908</v>
      </c>
      <c r="V93" s="39"/>
      <c r="W93" s="39" t="s">
        <v>909</v>
      </c>
      <c r="X93" s="39"/>
      <c r="Y93" s="39"/>
      <c r="Z93" s="39" t="s">
        <v>689</v>
      </c>
      <c r="AA93" s="37" t="s">
        <v>216</v>
      </c>
      <c r="AB93" s="38" t="s">
        <v>217</v>
      </c>
      <c r="AC93" s="37" t="s">
        <v>216</v>
      </c>
      <c r="AD93" s="37" t="s">
        <v>216</v>
      </c>
      <c r="AE93" s="38" t="s">
        <v>217</v>
      </c>
      <c r="AF93" s="37" t="s">
        <v>216</v>
      </c>
      <c r="AG93" s="38" t="s">
        <v>217</v>
      </c>
      <c r="AH93" s="37" t="s">
        <v>216</v>
      </c>
      <c r="AI93" s="38" t="s">
        <v>217</v>
      </c>
    </row>
    <row r="94" customFormat="false" ht="57.75" hidden="false" customHeight="true" outlineLevel="0" collapsed="false">
      <c r="A94" s="32" t="n">
        <v>93</v>
      </c>
      <c r="B94" s="34" t="s">
        <v>199</v>
      </c>
      <c r="C94" s="32" t="s">
        <v>200</v>
      </c>
      <c r="D94" s="32" t="s">
        <v>201</v>
      </c>
      <c r="E94" s="31" t="s">
        <v>910</v>
      </c>
      <c r="F94" s="32" t="s">
        <v>682</v>
      </c>
      <c r="G94" s="32" t="s">
        <v>911</v>
      </c>
      <c r="H94" s="32" t="s">
        <v>912</v>
      </c>
      <c r="I94" s="32" t="s">
        <v>720</v>
      </c>
      <c r="J94" s="32" t="s">
        <v>913</v>
      </c>
      <c r="K94" s="35" t="n">
        <v>1323</v>
      </c>
      <c r="L94" s="35" t="n">
        <v>1323</v>
      </c>
      <c r="M94" s="32" t="s">
        <v>217</v>
      </c>
      <c r="N94" s="36" t="s">
        <v>106</v>
      </c>
      <c r="O94" s="32"/>
      <c r="P94" s="32"/>
      <c r="Q94" s="32"/>
      <c r="R94" s="32"/>
      <c r="S94" s="32"/>
      <c r="T94" s="32"/>
      <c r="U94" s="36" t="s">
        <v>904</v>
      </c>
      <c r="V94" s="32"/>
      <c r="W94" s="32" t="s">
        <v>656</v>
      </c>
      <c r="X94" s="32"/>
      <c r="Y94" s="32"/>
      <c r="Z94" s="32" t="s">
        <v>674</v>
      </c>
      <c r="AA94" s="37" t="s">
        <v>216</v>
      </c>
      <c r="AB94" s="38" t="s">
        <v>217</v>
      </c>
      <c r="AC94" s="38" t="s">
        <v>217</v>
      </c>
      <c r="AD94" s="38" t="s">
        <v>217</v>
      </c>
      <c r="AE94" s="38" t="s">
        <v>217</v>
      </c>
      <c r="AF94" s="38" t="s">
        <v>217</v>
      </c>
      <c r="AG94" s="38" t="s">
        <v>217</v>
      </c>
      <c r="AH94" s="37" t="s">
        <v>216</v>
      </c>
      <c r="AI94" s="38" t="s">
        <v>217</v>
      </c>
    </row>
    <row r="95" customFormat="false" ht="57.75" hidden="false" customHeight="true" outlineLevel="0" collapsed="false">
      <c r="A95" s="39" t="n">
        <v>94</v>
      </c>
      <c r="B95" s="40" t="s">
        <v>199</v>
      </c>
      <c r="C95" s="39" t="s">
        <v>200</v>
      </c>
      <c r="D95" s="39" t="s">
        <v>201</v>
      </c>
      <c r="E95" s="41" t="s">
        <v>914</v>
      </c>
      <c r="F95" s="39" t="s">
        <v>915</v>
      </c>
      <c r="G95" s="39" t="s">
        <v>916</v>
      </c>
      <c r="H95" s="39" t="s">
        <v>642</v>
      </c>
      <c r="I95" s="39" t="s">
        <v>917</v>
      </c>
      <c r="J95" s="39"/>
      <c r="K95" s="42"/>
      <c r="L95" s="42"/>
      <c r="M95" s="39" t="s">
        <v>208</v>
      </c>
      <c r="N95" s="36" t="s">
        <v>106</v>
      </c>
      <c r="O95" s="39"/>
      <c r="P95" s="39"/>
      <c r="Q95" s="39"/>
      <c r="R95" s="39"/>
      <c r="S95" s="36" t="s">
        <v>918</v>
      </c>
      <c r="T95" s="39"/>
      <c r="U95" s="36" t="s">
        <v>919</v>
      </c>
      <c r="V95" s="39"/>
      <c r="W95" s="39" t="s">
        <v>920</v>
      </c>
      <c r="X95" s="39"/>
      <c r="Y95" s="39" t="s">
        <v>921</v>
      </c>
      <c r="Z95" s="39" t="s">
        <v>922</v>
      </c>
      <c r="AA95" s="37" t="s">
        <v>216</v>
      </c>
      <c r="AB95" s="38" t="s">
        <v>217</v>
      </c>
      <c r="AC95" s="38" t="s">
        <v>217</v>
      </c>
      <c r="AD95" s="38" t="s">
        <v>217</v>
      </c>
      <c r="AE95" s="38" t="s">
        <v>217</v>
      </c>
      <c r="AF95" s="37" t="s">
        <v>216</v>
      </c>
      <c r="AG95" s="38" t="s">
        <v>217</v>
      </c>
      <c r="AH95" s="37" t="s">
        <v>216</v>
      </c>
      <c r="AI95" s="38" t="s">
        <v>217</v>
      </c>
    </row>
    <row r="96" customFormat="false" ht="57.75" hidden="false" customHeight="true" outlineLevel="0" collapsed="false">
      <c r="A96" s="32" t="n">
        <v>95</v>
      </c>
      <c r="B96" s="34" t="s">
        <v>199</v>
      </c>
      <c r="C96" s="32" t="s">
        <v>200</v>
      </c>
      <c r="D96" s="32" t="s">
        <v>201</v>
      </c>
      <c r="E96" s="31" t="s">
        <v>923</v>
      </c>
      <c r="F96" s="32" t="s">
        <v>366</v>
      </c>
      <c r="G96" s="32" t="s">
        <v>924</v>
      </c>
      <c r="H96" s="32" t="s">
        <v>349</v>
      </c>
      <c r="I96" s="32" t="s">
        <v>925</v>
      </c>
      <c r="J96" s="32"/>
      <c r="K96" s="35"/>
      <c r="L96" s="35"/>
      <c r="M96" s="32" t="s">
        <v>217</v>
      </c>
      <c r="N96" s="32"/>
      <c r="O96" s="32"/>
      <c r="P96" s="32"/>
      <c r="Q96" s="32"/>
      <c r="R96" s="32"/>
      <c r="S96" s="32"/>
      <c r="T96" s="36" t="s">
        <v>755</v>
      </c>
      <c r="U96" s="32"/>
      <c r="V96" s="32"/>
      <c r="W96" s="32" t="s">
        <v>926</v>
      </c>
      <c r="X96" s="32"/>
      <c r="Y96" s="32" t="s">
        <v>921</v>
      </c>
      <c r="Z96" s="32" t="s">
        <v>927</v>
      </c>
      <c r="AA96" s="38" t="s">
        <v>217</v>
      </c>
      <c r="AB96" s="38" t="s">
        <v>217</v>
      </c>
      <c r="AC96" s="38" t="s">
        <v>217</v>
      </c>
      <c r="AD96" s="38" t="s">
        <v>217</v>
      </c>
      <c r="AE96" s="38" t="s">
        <v>217</v>
      </c>
      <c r="AF96" s="38" t="s">
        <v>217</v>
      </c>
      <c r="AG96" s="37" t="s">
        <v>216</v>
      </c>
      <c r="AH96" s="38" t="s">
        <v>217</v>
      </c>
      <c r="AI96" s="38" t="s">
        <v>217</v>
      </c>
    </row>
    <row r="97" customFormat="false" ht="57.75" hidden="false" customHeight="true" outlineLevel="0" collapsed="false">
      <c r="A97" s="39" t="n">
        <v>96</v>
      </c>
      <c r="B97" s="40" t="s">
        <v>199</v>
      </c>
      <c r="C97" s="39" t="s">
        <v>200</v>
      </c>
      <c r="D97" s="39" t="s">
        <v>201</v>
      </c>
      <c r="E97" s="41" t="s">
        <v>928</v>
      </c>
      <c r="F97" s="39" t="s">
        <v>929</v>
      </c>
      <c r="G97" s="39" t="s">
        <v>414</v>
      </c>
      <c r="H97" s="39" t="s">
        <v>930</v>
      </c>
      <c r="I97" s="39" t="s">
        <v>931</v>
      </c>
      <c r="J97" s="39"/>
      <c r="K97" s="42"/>
      <c r="L97" s="42"/>
      <c r="M97" s="39" t="s">
        <v>217</v>
      </c>
      <c r="N97" s="39"/>
      <c r="O97" s="39"/>
      <c r="P97" s="39"/>
      <c r="Q97" s="39"/>
      <c r="R97" s="39"/>
      <c r="S97" s="36" t="s">
        <v>212</v>
      </c>
      <c r="T97" s="39"/>
      <c r="U97" s="36" t="s">
        <v>932</v>
      </c>
      <c r="V97" s="36" t="s">
        <v>933</v>
      </c>
      <c r="W97" s="39" t="s">
        <v>934</v>
      </c>
      <c r="X97" s="39" t="s">
        <v>935</v>
      </c>
      <c r="Y97" s="39"/>
      <c r="Z97" s="39"/>
      <c r="AA97" s="38" t="s">
        <v>217</v>
      </c>
      <c r="AB97" s="38" t="s">
        <v>217</v>
      </c>
      <c r="AC97" s="38" t="s">
        <v>217</v>
      </c>
      <c r="AD97" s="38" t="s">
        <v>217</v>
      </c>
      <c r="AE97" s="38" t="s">
        <v>217</v>
      </c>
      <c r="AF97" s="37" t="s">
        <v>216</v>
      </c>
      <c r="AG97" s="38" t="s">
        <v>217</v>
      </c>
      <c r="AH97" s="37" t="s">
        <v>216</v>
      </c>
      <c r="AI97" s="37" t="s">
        <v>216</v>
      </c>
    </row>
    <row r="98" customFormat="false" ht="57.75" hidden="false" customHeight="true" outlineLevel="0" collapsed="false">
      <c r="A98" s="32" t="n">
        <v>97</v>
      </c>
      <c r="B98" s="34" t="s">
        <v>199</v>
      </c>
      <c r="C98" s="32" t="s">
        <v>200</v>
      </c>
      <c r="D98" s="32" t="s">
        <v>201</v>
      </c>
      <c r="E98" s="31" t="s">
        <v>936</v>
      </c>
      <c r="F98" s="32" t="s">
        <v>937</v>
      </c>
      <c r="G98" s="32" t="s">
        <v>938</v>
      </c>
      <c r="H98" s="32" t="s">
        <v>939</v>
      </c>
      <c r="I98" s="32" t="s">
        <v>940</v>
      </c>
      <c r="J98" s="32"/>
      <c r="K98" s="35"/>
      <c r="L98" s="35"/>
      <c r="M98" s="32" t="s">
        <v>208</v>
      </c>
      <c r="N98" s="36" t="s">
        <v>106</v>
      </c>
      <c r="O98" s="32"/>
      <c r="P98" s="32"/>
      <c r="Q98" s="32"/>
      <c r="R98" s="32"/>
      <c r="S98" s="32"/>
      <c r="T98" s="32"/>
      <c r="U98" s="32"/>
      <c r="V98" s="32"/>
      <c r="W98" s="32" t="s">
        <v>302</v>
      </c>
      <c r="X98" s="32"/>
      <c r="Y98" s="32" t="s">
        <v>941</v>
      </c>
      <c r="Z98" s="32" t="s">
        <v>436</v>
      </c>
      <c r="AA98" s="37" t="s">
        <v>216</v>
      </c>
      <c r="AB98" s="38" t="s">
        <v>217</v>
      </c>
      <c r="AC98" s="38" t="s">
        <v>217</v>
      </c>
      <c r="AD98" s="38" t="s">
        <v>217</v>
      </c>
      <c r="AE98" s="38" t="s">
        <v>217</v>
      </c>
      <c r="AF98" s="38" t="s">
        <v>217</v>
      </c>
      <c r="AG98" s="38" t="s">
        <v>217</v>
      </c>
      <c r="AH98" s="38" t="s">
        <v>217</v>
      </c>
      <c r="AI98" s="38" t="s">
        <v>217</v>
      </c>
    </row>
    <row r="99" customFormat="false" ht="57.75" hidden="false" customHeight="true" outlineLevel="0" collapsed="false">
      <c r="A99" s="39" t="n">
        <v>98</v>
      </c>
      <c r="B99" s="40" t="s">
        <v>199</v>
      </c>
      <c r="C99" s="39" t="s">
        <v>200</v>
      </c>
      <c r="D99" s="39" t="s">
        <v>201</v>
      </c>
      <c r="E99" s="41" t="s">
        <v>942</v>
      </c>
      <c r="F99" s="39" t="s">
        <v>203</v>
      </c>
      <c r="G99" s="39" t="s">
        <v>943</v>
      </c>
      <c r="H99" s="39" t="s">
        <v>349</v>
      </c>
      <c r="I99" s="39" t="s">
        <v>944</v>
      </c>
      <c r="J99" s="39" t="s">
        <v>945</v>
      </c>
      <c r="K99" s="42" t="n">
        <v>2385</v>
      </c>
      <c r="L99" s="42" t="n">
        <v>3480</v>
      </c>
      <c r="M99" s="39" t="s">
        <v>217</v>
      </c>
      <c r="N99" s="39"/>
      <c r="O99" s="39"/>
      <c r="P99" s="39"/>
      <c r="Q99" s="39"/>
      <c r="R99" s="39"/>
      <c r="S99" s="39"/>
      <c r="T99" s="39"/>
      <c r="U99" s="39"/>
      <c r="V99" s="39"/>
      <c r="W99" s="39" t="s">
        <v>946</v>
      </c>
      <c r="X99" s="39"/>
      <c r="Y99" s="39" t="s">
        <v>947</v>
      </c>
      <c r="Z99" s="39" t="s">
        <v>599</v>
      </c>
      <c r="AA99" s="38" t="s">
        <v>217</v>
      </c>
      <c r="AB99" s="38" t="s">
        <v>217</v>
      </c>
      <c r="AC99" s="38" t="s">
        <v>217</v>
      </c>
      <c r="AD99" s="38" t="s">
        <v>217</v>
      </c>
      <c r="AE99" s="38" t="s">
        <v>217</v>
      </c>
      <c r="AF99" s="38" t="s">
        <v>217</v>
      </c>
      <c r="AG99" s="38" t="s">
        <v>217</v>
      </c>
      <c r="AH99" s="38" t="s">
        <v>217</v>
      </c>
      <c r="AI99" s="38" t="s">
        <v>217</v>
      </c>
    </row>
    <row r="100" customFormat="false" ht="57.75" hidden="false" customHeight="true" outlineLevel="0" collapsed="false">
      <c r="A100" s="32" t="n">
        <v>99</v>
      </c>
      <c r="B100" s="34" t="s">
        <v>199</v>
      </c>
      <c r="C100" s="32" t="s">
        <v>200</v>
      </c>
      <c r="D100" s="32" t="s">
        <v>201</v>
      </c>
      <c r="E100" s="31" t="s">
        <v>948</v>
      </c>
      <c r="F100" s="32"/>
      <c r="G100" s="32" t="s">
        <v>949</v>
      </c>
      <c r="H100" s="32" t="s">
        <v>950</v>
      </c>
      <c r="I100" s="32" t="s">
        <v>951</v>
      </c>
      <c r="J100" s="32"/>
      <c r="K100" s="35"/>
      <c r="L100" s="35"/>
      <c r="M100" s="32" t="s">
        <v>217</v>
      </c>
      <c r="N100" s="32"/>
      <c r="O100" s="32"/>
      <c r="P100" s="32"/>
      <c r="Q100" s="32"/>
      <c r="R100" s="32"/>
      <c r="S100" s="32"/>
      <c r="T100" s="32"/>
      <c r="U100" s="32"/>
      <c r="V100" s="32"/>
      <c r="W100" s="32"/>
      <c r="X100" s="32" t="s">
        <v>952</v>
      </c>
      <c r="Y100" s="32"/>
      <c r="Z100" s="32"/>
      <c r="AA100" s="38" t="s">
        <v>217</v>
      </c>
      <c r="AB100" s="38" t="s">
        <v>217</v>
      </c>
      <c r="AC100" s="38" t="s">
        <v>217</v>
      </c>
      <c r="AD100" s="38" t="s">
        <v>217</v>
      </c>
      <c r="AE100" s="38" t="s">
        <v>217</v>
      </c>
      <c r="AF100" s="38" t="s">
        <v>217</v>
      </c>
      <c r="AG100" s="38" t="s">
        <v>217</v>
      </c>
      <c r="AH100" s="38" t="s">
        <v>217</v>
      </c>
      <c r="AI100" s="38" t="s">
        <v>217</v>
      </c>
    </row>
    <row r="101" customFormat="false" ht="57.75" hidden="false" customHeight="true" outlineLevel="0" collapsed="false">
      <c r="A101" s="39" t="n">
        <v>100</v>
      </c>
      <c r="B101" s="40" t="s">
        <v>199</v>
      </c>
      <c r="C101" s="39" t="s">
        <v>200</v>
      </c>
      <c r="D101" s="39" t="s">
        <v>201</v>
      </c>
      <c r="E101" s="41" t="s">
        <v>953</v>
      </c>
      <c r="F101" s="39" t="s">
        <v>954</v>
      </c>
      <c r="G101" s="39" t="s">
        <v>955</v>
      </c>
      <c r="H101" s="39" t="s">
        <v>349</v>
      </c>
      <c r="I101" s="39" t="s">
        <v>956</v>
      </c>
      <c r="J101" s="39"/>
      <c r="K101" s="42"/>
      <c r="L101" s="42"/>
      <c r="M101" s="39" t="s">
        <v>217</v>
      </c>
      <c r="N101" s="39"/>
      <c r="O101" s="39"/>
      <c r="P101" s="39"/>
      <c r="Q101" s="39"/>
      <c r="R101" s="39"/>
      <c r="S101" s="39"/>
      <c r="T101" s="39"/>
      <c r="U101" s="39"/>
      <c r="V101" s="39"/>
      <c r="W101" s="39" t="s">
        <v>302</v>
      </c>
      <c r="X101" s="39"/>
      <c r="Y101" s="39"/>
      <c r="Z101" s="39" t="s">
        <v>291</v>
      </c>
      <c r="AA101" s="38" t="s">
        <v>217</v>
      </c>
      <c r="AB101" s="38" t="s">
        <v>217</v>
      </c>
      <c r="AC101" s="38" t="s">
        <v>217</v>
      </c>
      <c r="AD101" s="38" t="s">
        <v>217</v>
      </c>
      <c r="AE101" s="38" t="s">
        <v>217</v>
      </c>
      <c r="AF101" s="38" t="s">
        <v>217</v>
      </c>
      <c r="AG101" s="38" t="s">
        <v>217</v>
      </c>
      <c r="AH101" s="38" t="s">
        <v>217</v>
      </c>
      <c r="AI101" s="38" t="s">
        <v>217</v>
      </c>
    </row>
    <row r="102" customFormat="false" ht="57.75" hidden="false" customHeight="true" outlineLevel="0" collapsed="false">
      <c r="A102" s="32" t="n">
        <v>101</v>
      </c>
      <c r="B102" s="34" t="s">
        <v>199</v>
      </c>
      <c r="C102" s="32" t="s">
        <v>200</v>
      </c>
      <c r="D102" s="32" t="s">
        <v>201</v>
      </c>
      <c r="E102" s="31" t="s">
        <v>957</v>
      </c>
      <c r="F102" s="32" t="s">
        <v>958</v>
      </c>
      <c r="G102" s="32" t="s">
        <v>959</v>
      </c>
      <c r="H102" s="32" t="s">
        <v>349</v>
      </c>
      <c r="I102" s="32" t="s">
        <v>960</v>
      </c>
      <c r="J102" s="32"/>
      <c r="K102" s="35"/>
      <c r="L102" s="35"/>
      <c r="M102" s="32" t="s">
        <v>217</v>
      </c>
      <c r="N102" s="32"/>
      <c r="O102" s="43" t="s">
        <v>961</v>
      </c>
      <c r="P102" s="43" t="s">
        <v>961</v>
      </c>
      <c r="Q102" s="43" t="s">
        <v>961</v>
      </c>
      <c r="R102" s="32"/>
      <c r="S102" s="32"/>
      <c r="T102" s="43" t="s">
        <v>961</v>
      </c>
      <c r="U102" s="32"/>
      <c r="V102" s="43" t="s">
        <v>961</v>
      </c>
      <c r="W102" s="32" t="s">
        <v>962</v>
      </c>
      <c r="X102" s="32"/>
      <c r="Y102" s="32"/>
      <c r="Z102" s="32" t="s">
        <v>599</v>
      </c>
      <c r="AA102" s="38" t="s">
        <v>217</v>
      </c>
      <c r="AB102" s="44" t="s">
        <v>335</v>
      </c>
      <c r="AC102" s="44" t="s">
        <v>335</v>
      </c>
      <c r="AD102" s="44" t="s">
        <v>335</v>
      </c>
      <c r="AE102" s="38" t="s">
        <v>217</v>
      </c>
      <c r="AF102" s="38" t="s">
        <v>217</v>
      </c>
      <c r="AG102" s="44" t="s">
        <v>335</v>
      </c>
      <c r="AH102" s="38" t="s">
        <v>217</v>
      </c>
      <c r="AI102" s="44" t="s">
        <v>335</v>
      </c>
    </row>
    <row r="103" customFormat="false" ht="57.75" hidden="false" customHeight="true" outlineLevel="0" collapsed="false">
      <c r="A103" s="39" t="n">
        <v>102</v>
      </c>
      <c r="B103" s="40" t="s">
        <v>199</v>
      </c>
      <c r="C103" s="39" t="s">
        <v>200</v>
      </c>
      <c r="D103" s="39" t="s">
        <v>201</v>
      </c>
      <c r="E103" s="41" t="s">
        <v>963</v>
      </c>
      <c r="F103" s="39" t="s">
        <v>964</v>
      </c>
      <c r="G103" s="39" t="s">
        <v>965</v>
      </c>
      <c r="H103" s="39" t="s">
        <v>349</v>
      </c>
      <c r="I103" s="39" t="s">
        <v>966</v>
      </c>
      <c r="J103" s="39" t="s">
        <v>967</v>
      </c>
      <c r="K103" s="42" t="n">
        <v>1200</v>
      </c>
      <c r="L103" s="42" t="n">
        <v>1800</v>
      </c>
      <c r="M103" s="39" t="s">
        <v>217</v>
      </c>
      <c r="N103" s="39"/>
      <c r="O103" s="39"/>
      <c r="P103" s="39"/>
      <c r="Q103" s="39"/>
      <c r="R103" s="39"/>
      <c r="S103" s="39"/>
      <c r="T103" s="39"/>
      <c r="U103" s="36" t="s">
        <v>968</v>
      </c>
      <c r="V103" s="39"/>
      <c r="W103" s="39" t="s">
        <v>969</v>
      </c>
      <c r="X103" s="39"/>
      <c r="Y103" s="39"/>
      <c r="Z103" s="39" t="s">
        <v>970</v>
      </c>
      <c r="AA103" s="38" t="s">
        <v>217</v>
      </c>
      <c r="AB103" s="38" t="s">
        <v>217</v>
      </c>
      <c r="AC103" s="38" t="s">
        <v>217</v>
      </c>
      <c r="AD103" s="38" t="s">
        <v>217</v>
      </c>
      <c r="AE103" s="38" t="s">
        <v>217</v>
      </c>
      <c r="AF103" s="38" t="s">
        <v>217</v>
      </c>
      <c r="AG103" s="38" t="s">
        <v>217</v>
      </c>
      <c r="AH103" s="37" t="s">
        <v>216</v>
      </c>
      <c r="AI103" s="38" t="s">
        <v>217</v>
      </c>
    </row>
    <row r="104" customFormat="false" ht="57.75" hidden="false" customHeight="true" outlineLevel="0" collapsed="false">
      <c r="A104" s="32" t="n">
        <v>103</v>
      </c>
      <c r="B104" s="34" t="s">
        <v>199</v>
      </c>
      <c r="C104" s="32" t="s">
        <v>200</v>
      </c>
      <c r="D104" s="32" t="s">
        <v>201</v>
      </c>
      <c r="E104" s="31" t="s">
        <v>971</v>
      </c>
      <c r="F104" s="32" t="s">
        <v>972</v>
      </c>
      <c r="G104" s="32" t="s">
        <v>965</v>
      </c>
      <c r="H104" s="32" t="s">
        <v>385</v>
      </c>
      <c r="I104" s="32" t="s">
        <v>973</v>
      </c>
      <c r="J104" s="32" t="s">
        <v>974</v>
      </c>
      <c r="K104" s="35" t="n">
        <v>1037</v>
      </c>
      <c r="L104" s="35" t="n">
        <v>1037</v>
      </c>
      <c r="M104" s="32" t="s">
        <v>217</v>
      </c>
      <c r="N104" s="32"/>
      <c r="O104" s="32"/>
      <c r="P104" s="36" t="s">
        <v>653</v>
      </c>
      <c r="Q104" s="36" t="s">
        <v>975</v>
      </c>
      <c r="R104" s="32"/>
      <c r="S104" s="36" t="s">
        <v>976</v>
      </c>
      <c r="T104" s="32"/>
      <c r="U104" s="36" t="s">
        <v>977</v>
      </c>
      <c r="V104" s="32"/>
      <c r="W104" s="32" t="s">
        <v>978</v>
      </c>
      <c r="X104" s="32"/>
      <c r="Y104" s="32"/>
      <c r="Z104" s="32" t="s">
        <v>979</v>
      </c>
      <c r="AA104" s="38" t="s">
        <v>217</v>
      </c>
      <c r="AB104" s="38" t="s">
        <v>217</v>
      </c>
      <c r="AC104" s="37" t="s">
        <v>216</v>
      </c>
      <c r="AD104" s="37" t="s">
        <v>216</v>
      </c>
      <c r="AE104" s="38" t="s">
        <v>217</v>
      </c>
      <c r="AF104" s="37" t="s">
        <v>216</v>
      </c>
      <c r="AG104" s="38" t="s">
        <v>217</v>
      </c>
      <c r="AH104" s="37" t="s">
        <v>216</v>
      </c>
      <c r="AI104" s="38" t="s">
        <v>217</v>
      </c>
    </row>
    <row r="105" customFormat="false" ht="57.75" hidden="false" customHeight="true" outlineLevel="0" collapsed="false">
      <c r="A105" s="39" t="n">
        <v>104</v>
      </c>
      <c r="B105" s="40" t="s">
        <v>199</v>
      </c>
      <c r="C105" s="39" t="s">
        <v>200</v>
      </c>
      <c r="D105" s="39" t="s">
        <v>201</v>
      </c>
      <c r="E105" s="41" t="s">
        <v>980</v>
      </c>
      <c r="F105" s="39" t="s">
        <v>981</v>
      </c>
      <c r="G105" s="39" t="s">
        <v>982</v>
      </c>
      <c r="H105" s="39" t="s">
        <v>349</v>
      </c>
      <c r="I105" s="39" t="s">
        <v>529</v>
      </c>
      <c r="J105" s="39"/>
      <c r="K105" s="42"/>
      <c r="L105" s="42"/>
      <c r="M105" s="39" t="s">
        <v>217</v>
      </c>
      <c r="N105" s="39"/>
      <c r="O105" s="39"/>
      <c r="P105" s="39"/>
      <c r="Q105" s="36" t="s">
        <v>257</v>
      </c>
      <c r="R105" s="39"/>
      <c r="S105" s="36" t="s">
        <v>212</v>
      </c>
      <c r="T105" s="39"/>
      <c r="U105" s="36" t="s">
        <v>983</v>
      </c>
      <c r="V105" s="39"/>
      <c r="W105" s="39" t="s">
        <v>302</v>
      </c>
      <c r="X105" s="39"/>
      <c r="Y105" s="39"/>
      <c r="Z105" s="39" t="s">
        <v>291</v>
      </c>
      <c r="AA105" s="38" t="s">
        <v>217</v>
      </c>
      <c r="AB105" s="38" t="s">
        <v>217</v>
      </c>
      <c r="AC105" s="38" t="s">
        <v>217</v>
      </c>
      <c r="AD105" s="37" t="s">
        <v>216</v>
      </c>
      <c r="AE105" s="38" t="s">
        <v>217</v>
      </c>
      <c r="AF105" s="37" t="s">
        <v>216</v>
      </c>
      <c r="AG105" s="38" t="s">
        <v>217</v>
      </c>
      <c r="AH105" s="37" t="s">
        <v>216</v>
      </c>
      <c r="AI105" s="38" t="s">
        <v>217</v>
      </c>
    </row>
    <row r="106" customFormat="false" ht="57.75" hidden="false" customHeight="true" outlineLevel="0" collapsed="false">
      <c r="A106" s="32" t="n">
        <v>105</v>
      </c>
      <c r="B106" s="34" t="s">
        <v>199</v>
      </c>
      <c r="C106" s="32" t="s">
        <v>200</v>
      </c>
      <c r="D106" s="32" t="s">
        <v>201</v>
      </c>
      <c r="E106" s="31" t="s">
        <v>984</v>
      </c>
      <c r="F106" s="32" t="s">
        <v>985</v>
      </c>
      <c r="G106" s="32" t="s">
        <v>986</v>
      </c>
      <c r="H106" s="32" t="s">
        <v>385</v>
      </c>
      <c r="I106" s="32" t="s">
        <v>987</v>
      </c>
      <c r="J106" s="32" t="s">
        <v>988</v>
      </c>
      <c r="K106" s="35" t="n">
        <v>1440</v>
      </c>
      <c r="L106" s="35" t="n">
        <v>2115</v>
      </c>
      <c r="M106" s="32" t="s">
        <v>217</v>
      </c>
      <c r="N106" s="32"/>
      <c r="O106" s="32"/>
      <c r="P106" s="32"/>
      <c r="Q106" s="32"/>
      <c r="R106" s="32"/>
      <c r="S106" s="36" t="s">
        <v>322</v>
      </c>
      <c r="T106" s="36" t="s">
        <v>755</v>
      </c>
      <c r="U106" s="36" t="s">
        <v>989</v>
      </c>
      <c r="V106" s="32"/>
      <c r="W106" s="32" t="s">
        <v>990</v>
      </c>
      <c r="X106" s="32"/>
      <c r="Y106" s="32"/>
      <c r="Z106" s="32" t="s">
        <v>991</v>
      </c>
      <c r="AA106" s="38" t="s">
        <v>217</v>
      </c>
      <c r="AB106" s="38" t="s">
        <v>217</v>
      </c>
      <c r="AC106" s="38" t="s">
        <v>217</v>
      </c>
      <c r="AD106" s="38" t="s">
        <v>217</v>
      </c>
      <c r="AE106" s="38" t="s">
        <v>217</v>
      </c>
      <c r="AF106" s="37" t="s">
        <v>216</v>
      </c>
      <c r="AG106" s="37" t="s">
        <v>216</v>
      </c>
      <c r="AH106" s="37" t="s">
        <v>216</v>
      </c>
      <c r="AI106" s="38" t="s">
        <v>217</v>
      </c>
    </row>
    <row r="107" customFormat="false" ht="57.75" hidden="false" customHeight="true" outlineLevel="0" collapsed="false">
      <c r="A107" s="39" t="n">
        <v>106</v>
      </c>
      <c r="B107" s="40" t="s">
        <v>199</v>
      </c>
      <c r="C107" s="39" t="s">
        <v>200</v>
      </c>
      <c r="D107" s="39" t="s">
        <v>201</v>
      </c>
      <c r="E107" s="41" t="s">
        <v>992</v>
      </c>
      <c r="F107" s="39" t="s">
        <v>993</v>
      </c>
      <c r="G107" s="39" t="s">
        <v>994</v>
      </c>
      <c r="H107" s="39" t="s">
        <v>385</v>
      </c>
      <c r="I107" s="39" t="s">
        <v>995</v>
      </c>
      <c r="J107" s="39"/>
      <c r="K107" s="42"/>
      <c r="L107" s="42"/>
      <c r="M107" s="39" t="s">
        <v>217</v>
      </c>
      <c r="N107" s="39"/>
      <c r="O107" s="39"/>
      <c r="P107" s="39"/>
      <c r="Q107" s="39"/>
      <c r="R107" s="39"/>
      <c r="S107" s="39"/>
      <c r="T107" s="39"/>
      <c r="U107" s="39"/>
      <c r="V107" s="39"/>
      <c r="W107" s="39" t="s">
        <v>996</v>
      </c>
      <c r="X107" s="39"/>
      <c r="Y107" s="39"/>
      <c r="Z107" s="39" t="s">
        <v>791</v>
      </c>
      <c r="AA107" s="38" t="s">
        <v>217</v>
      </c>
      <c r="AB107" s="38" t="s">
        <v>217</v>
      </c>
      <c r="AC107" s="38" t="s">
        <v>217</v>
      </c>
      <c r="AD107" s="38" t="s">
        <v>217</v>
      </c>
      <c r="AE107" s="38" t="s">
        <v>217</v>
      </c>
      <c r="AF107" s="38" t="s">
        <v>217</v>
      </c>
      <c r="AG107" s="38" t="s">
        <v>217</v>
      </c>
      <c r="AH107" s="38" t="s">
        <v>217</v>
      </c>
      <c r="AI107" s="38" t="s">
        <v>217</v>
      </c>
    </row>
    <row r="108" customFormat="false" ht="57.75" hidden="false" customHeight="true" outlineLevel="0" collapsed="false">
      <c r="A108" s="32" t="n">
        <v>107</v>
      </c>
      <c r="B108" s="34" t="s">
        <v>199</v>
      </c>
      <c r="C108" s="32" t="s">
        <v>200</v>
      </c>
      <c r="D108" s="32" t="s">
        <v>201</v>
      </c>
      <c r="E108" s="31" t="s">
        <v>997</v>
      </c>
      <c r="F108" s="32" t="s">
        <v>998</v>
      </c>
      <c r="G108" s="32" t="s">
        <v>999</v>
      </c>
      <c r="H108" s="32" t="s">
        <v>349</v>
      </c>
      <c r="I108" s="32" t="s">
        <v>1000</v>
      </c>
      <c r="J108" s="32"/>
      <c r="K108" s="35"/>
      <c r="L108" s="35"/>
      <c r="M108" s="32" t="s">
        <v>217</v>
      </c>
      <c r="N108" s="32"/>
      <c r="O108" s="32"/>
      <c r="P108" s="32"/>
      <c r="Q108" s="32"/>
      <c r="R108" s="32"/>
      <c r="S108" s="32"/>
      <c r="T108" s="32"/>
      <c r="U108" s="32"/>
      <c r="V108" s="32"/>
      <c r="W108" s="32" t="s">
        <v>996</v>
      </c>
      <c r="X108" s="32"/>
      <c r="Y108" s="32" t="s">
        <v>1001</v>
      </c>
      <c r="Z108" s="32" t="s">
        <v>443</v>
      </c>
      <c r="AA108" s="38" t="s">
        <v>217</v>
      </c>
      <c r="AB108" s="38" t="s">
        <v>217</v>
      </c>
      <c r="AC108" s="38" t="s">
        <v>217</v>
      </c>
      <c r="AD108" s="38" t="s">
        <v>217</v>
      </c>
      <c r="AE108" s="38" t="s">
        <v>217</v>
      </c>
      <c r="AF108" s="38" t="s">
        <v>217</v>
      </c>
      <c r="AG108" s="38" t="s">
        <v>217</v>
      </c>
      <c r="AH108" s="38" t="s">
        <v>217</v>
      </c>
      <c r="AI108" s="38" t="s">
        <v>217</v>
      </c>
    </row>
    <row r="109" customFormat="false" ht="57.75" hidden="false" customHeight="true" outlineLevel="0" collapsed="false">
      <c r="A109" s="39" t="n">
        <v>108</v>
      </c>
      <c r="B109" s="40" t="s">
        <v>199</v>
      </c>
      <c r="C109" s="39" t="s">
        <v>200</v>
      </c>
      <c r="D109" s="39" t="s">
        <v>201</v>
      </c>
      <c r="E109" s="41" t="s">
        <v>1002</v>
      </c>
      <c r="F109" s="39" t="s">
        <v>1003</v>
      </c>
      <c r="G109" s="39" t="s">
        <v>1004</v>
      </c>
      <c r="H109" s="39" t="s">
        <v>642</v>
      </c>
      <c r="I109" s="39" t="s">
        <v>1005</v>
      </c>
      <c r="J109" s="39" t="s">
        <v>1006</v>
      </c>
      <c r="K109" s="42" t="n">
        <v>4254</v>
      </c>
      <c r="L109" s="42" t="n">
        <v>4754</v>
      </c>
      <c r="M109" s="39" t="s">
        <v>208</v>
      </c>
      <c r="N109" s="39"/>
      <c r="O109" s="39"/>
      <c r="P109" s="36" t="s">
        <v>1007</v>
      </c>
      <c r="Q109" s="36" t="s">
        <v>257</v>
      </c>
      <c r="R109" s="39"/>
      <c r="S109" s="36" t="s">
        <v>1008</v>
      </c>
      <c r="T109" s="36" t="s">
        <v>755</v>
      </c>
      <c r="U109" s="36" t="s">
        <v>1009</v>
      </c>
      <c r="V109" s="39"/>
      <c r="W109" s="39" t="s">
        <v>265</v>
      </c>
      <c r="X109" s="39"/>
      <c r="Y109" s="39" t="s">
        <v>1001</v>
      </c>
      <c r="Z109" s="39" t="s">
        <v>291</v>
      </c>
      <c r="AA109" s="38" t="s">
        <v>217</v>
      </c>
      <c r="AB109" s="38" t="s">
        <v>217</v>
      </c>
      <c r="AC109" s="37" t="s">
        <v>216</v>
      </c>
      <c r="AD109" s="37" t="s">
        <v>216</v>
      </c>
      <c r="AE109" s="38" t="s">
        <v>217</v>
      </c>
      <c r="AF109" s="37" t="s">
        <v>216</v>
      </c>
      <c r="AG109" s="37" t="s">
        <v>216</v>
      </c>
      <c r="AH109" s="37" t="s">
        <v>216</v>
      </c>
      <c r="AI109" s="38" t="s">
        <v>217</v>
      </c>
    </row>
    <row r="110" customFormat="false" ht="57.75" hidden="false" customHeight="true" outlineLevel="0" collapsed="false">
      <c r="A110" s="32" t="n">
        <v>109</v>
      </c>
      <c r="B110" s="34" t="s">
        <v>199</v>
      </c>
      <c r="C110" s="32" t="s">
        <v>200</v>
      </c>
      <c r="D110" s="32" t="s">
        <v>201</v>
      </c>
      <c r="E110" s="31" t="s">
        <v>1010</v>
      </c>
      <c r="F110" s="32" t="s">
        <v>1003</v>
      </c>
      <c r="G110" s="32" t="s">
        <v>1011</v>
      </c>
      <c r="H110" s="32" t="s">
        <v>642</v>
      </c>
      <c r="I110" s="32" t="s">
        <v>1012</v>
      </c>
      <c r="J110" s="32" t="s">
        <v>1013</v>
      </c>
      <c r="K110" s="35" t="n">
        <v>4749</v>
      </c>
      <c r="L110" s="35" t="n">
        <v>5168</v>
      </c>
      <c r="M110" s="32" t="s">
        <v>208</v>
      </c>
      <c r="N110" s="36" t="s">
        <v>106</v>
      </c>
      <c r="O110" s="32"/>
      <c r="P110" s="43" t="s">
        <v>1014</v>
      </c>
      <c r="Q110" s="36" t="s">
        <v>1015</v>
      </c>
      <c r="R110" s="43" t="s">
        <v>1016</v>
      </c>
      <c r="S110" s="36" t="s">
        <v>1008</v>
      </c>
      <c r="T110" s="36" t="s">
        <v>755</v>
      </c>
      <c r="U110" s="36" t="s">
        <v>1017</v>
      </c>
      <c r="V110" s="32"/>
      <c r="W110" s="32" t="s">
        <v>1018</v>
      </c>
      <c r="X110" s="32"/>
      <c r="Y110" s="32"/>
      <c r="Z110" s="32" t="s">
        <v>251</v>
      </c>
      <c r="AA110" s="37" t="s">
        <v>216</v>
      </c>
      <c r="AB110" s="38" t="s">
        <v>217</v>
      </c>
      <c r="AC110" s="44" t="s">
        <v>335</v>
      </c>
      <c r="AD110" s="37" t="s">
        <v>216</v>
      </c>
      <c r="AE110" s="44" t="s">
        <v>335</v>
      </c>
      <c r="AF110" s="37" t="s">
        <v>216</v>
      </c>
      <c r="AG110" s="37" t="s">
        <v>216</v>
      </c>
      <c r="AH110" s="37" t="s">
        <v>216</v>
      </c>
      <c r="AI110" s="38" t="s">
        <v>217</v>
      </c>
    </row>
    <row r="111" customFormat="false" ht="57.75" hidden="false" customHeight="true" outlineLevel="0" collapsed="false">
      <c r="A111" s="39" t="n">
        <v>110</v>
      </c>
      <c r="B111" s="40" t="s">
        <v>199</v>
      </c>
      <c r="C111" s="39" t="s">
        <v>200</v>
      </c>
      <c r="D111" s="39" t="s">
        <v>201</v>
      </c>
      <c r="E111" s="41" t="s">
        <v>1019</v>
      </c>
      <c r="F111" s="39" t="s">
        <v>1003</v>
      </c>
      <c r="G111" s="39" t="s">
        <v>1011</v>
      </c>
      <c r="H111" s="39" t="s">
        <v>642</v>
      </c>
      <c r="I111" s="39" t="s">
        <v>1020</v>
      </c>
      <c r="J111" s="39" t="s">
        <v>1021</v>
      </c>
      <c r="K111" s="42" t="n">
        <v>2615</v>
      </c>
      <c r="L111" s="42" t="n">
        <v>3272</v>
      </c>
      <c r="M111" s="39" t="s">
        <v>208</v>
      </c>
      <c r="N111" s="36" t="s">
        <v>106</v>
      </c>
      <c r="O111" s="39"/>
      <c r="P111" s="43" t="s">
        <v>1014</v>
      </c>
      <c r="Q111" s="36" t="s">
        <v>1015</v>
      </c>
      <c r="R111" s="39"/>
      <c r="S111" s="36" t="s">
        <v>1008</v>
      </c>
      <c r="T111" s="36" t="s">
        <v>755</v>
      </c>
      <c r="U111" s="36" t="s">
        <v>1022</v>
      </c>
      <c r="V111" s="39"/>
      <c r="W111" s="39" t="s">
        <v>656</v>
      </c>
      <c r="X111" s="39"/>
      <c r="Y111" s="39"/>
      <c r="Z111" s="39"/>
      <c r="AA111" s="37" t="s">
        <v>216</v>
      </c>
      <c r="AB111" s="38" t="s">
        <v>217</v>
      </c>
      <c r="AC111" s="44" t="s">
        <v>335</v>
      </c>
      <c r="AD111" s="37" t="s">
        <v>216</v>
      </c>
      <c r="AE111" s="38" t="s">
        <v>217</v>
      </c>
      <c r="AF111" s="37" t="s">
        <v>216</v>
      </c>
      <c r="AG111" s="37" t="s">
        <v>216</v>
      </c>
      <c r="AH111" s="37" t="s">
        <v>216</v>
      </c>
      <c r="AI111" s="38" t="s">
        <v>217</v>
      </c>
    </row>
    <row r="112" customFormat="false" ht="57.75" hidden="false" customHeight="true" outlineLevel="0" collapsed="false">
      <c r="A112" s="32" t="n">
        <v>111</v>
      </c>
      <c r="B112" s="34" t="s">
        <v>199</v>
      </c>
      <c r="C112" s="32" t="s">
        <v>200</v>
      </c>
      <c r="D112" s="32" t="s">
        <v>201</v>
      </c>
      <c r="E112" s="31" t="s">
        <v>1023</v>
      </c>
      <c r="F112" s="32" t="s">
        <v>1003</v>
      </c>
      <c r="G112" s="32" t="s">
        <v>1024</v>
      </c>
      <c r="H112" s="32" t="s">
        <v>642</v>
      </c>
      <c r="I112" s="32" t="s">
        <v>1025</v>
      </c>
      <c r="J112" s="32" t="s">
        <v>1026</v>
      </c>
      <c r="K112" s="35" t="n">
        <v>5547</v>
      </c>
      <c r="L112" s="35" t="n">
        <v>6013</v>
      </c>
      <c r="M112" s="32" t="s">
        <v>208</v>
      </c>
      <c r="N112" s="32"/>
      <c r="O112" s="32"/>
      <c r="P112" s="43" t="s">
        <v>1014</v>
      </c>
      <c r="Q112" s="36" t="s">
        <v>257</v>
      </c>
      <c r="R112" s="32"/>
      <c r="S112" s="36" t="s">
        <v>1008</v>
      </c>
      <c r="T112" s="36" t="s">
        <v>755</v>
      </c>
      <c r="U112" s="36" t="s">
        <v>1027</v>
      </c>
      <c r="V112" s="32"/>
      <c r="W112" s="32" t="s">
        <v>302</v>
      </c>
      <c r="X112" s="32"/>
      <c r="Y112" s="32"/>
      <c r="Z112" s="32" t="s">
        <v>1028</v>
      </c>
      <c r="AA112" s="38" t="s">
        <v>217</v>
      </c>
      <c r="AB112" s="38" t="s">
        <v>217</v>
      </c>
      <c r="AC112" s="44" t="s">
        <v>335</v>
      </c>
      <c r="AD112" s="37" t="s">
        <v>216</v>
      </c>
      <c r="AE112" s="38" t="s">
        <v>217</v>
      </c>
      <c r="AF112" s="37" t="s">
        <v>216</v>
      </c>
      <c r="AG112" s="37" t="s">
        <v>216</v>
      </c>
      <c r="AH112" s="37" t="s">
        <v>216</v>
      </c>
      <c r="AI112" s="38" t="s">
        <v>217</v>
      </c>
    </row>
    <row r="113" customFormat="false" ht="57.75" hidden="false" customHeight="true" outlineLevel="0" collapsed="false">
      <c r="A113" s="39" t="n">
        <v>112</v>
      </c>
      <c r="B113" s="40" t="s">
        <v>199</v>
      </c>
      <c r="C113" s="39" t="s">
        <v>200</v>
      </c>
      <c r="D113" s="39" t="s">
        <v>201</v>
      </c>
      <c r="E113" s="41" t="s">
        <v>1029</v>
      </c>
      <c r="F113" s="39" t="s">
        <v>1003</v>
      </c>
      <c r="G113" s="39" t="s">
        <v>1030</v>
      </c>
      <c r="H113" s="39" t="s">
        <v>642</v>
      </c>
      <c r="I113" s="39" t="s">
        <v>1031</v>
      </c>
      <c r="J113" s="39" t="s">
        <v>1032</v>
      </c>
      <c r="K113" s="42" t="n">
        <v>2734</v>
      </c>
      <c r="L113" s="42" t="n">
        <v>2996</v>
      </c>
      <c r="M113" s="39" t="s">
        <v>208</v>
      </c>
      <c r="N113" s="39"/>
      <c r="O113" s="39"/>
      <c r="P113" s="39"/>
      <c r="Q113" s="36" t="s">
        <v>257</v>
      </c>
      <c r="R113" s="39"/>
      <c r="S113" s="36" t="s">
        <v>1008</v>
      </c>
      <c r="T113" s="36" t="s">
        <v>755</v>
      </c>
      <c r="U113" s="36" t="s">
        <v>1033</v>
      </c>
      <c r="V113" s="39"/>
      <c r="W113" s="39" t="s">
        <v>302</v>
      </c>
      <c r="X113" s="39"/>
      <c r="Y113" s="39"/>
      <c r="Z113" s="39" t="s">
        <v>1034</v>
      </c>
      <c r="AA113" s="38" t="s">
        <v>217</v>
      </c>
      <c r="AB113" s="38" t="s">
        <v>217</v>
      </c>
      <c r="AC113" s="38" t="s">
        <v>217</v>
      </c>
      <c r="AD113" s="37" t="s">
        <v>216</v>
      </c>
      <c r="AE113" s="38" t="s">
        <v>217</v>
      </c>
      <c r="AF113" s="37" t="s">
        <v>216</v>
      </c>
      <c r="AG113" s="37" t="s">
        <v>216</v>
      </c>
      <c r="AH113" s="37" t="s">
        <v>216</v>
      </c>
      <c r="AI113" s="38" t="s">
        <v>217</v>
      </c>
    </row>
    <row r="114" customFormat="false" ht="57.75" hidden="false" customHeight="true" outlineLevel="0" collapsed="false">
      <c r="A114" s="32" t="n">
        <v>113</v>
      </c>
      <c r="B114" s="34" t="s">
        <v>199</v>
      </c>
      <c r="C114" s="32" t="s">
        <v>200</v>
      </c>
      <c r="D114" s="32" t="s">
        <v>201</v>
      </c>
      <c r="E114" s="31" t="s">
        <v>1035</v>
      </c>
      <c r="F114" s="32" t="s">
        <v>1036</v>
      </c>
      <c r="G114" s="32" t="s">
        <v>1037</v>
      </c>
      <c r="H114" s="32" t="s">
        <v>642</v>
      </c>
      <c r="I114" s="32" t="s">
        <v>1038</v>
      </c>
      <c r="J114" s="32"/>
      <c r="K114" s="35"/>
      <c r="L114" s="35"/>
      <c r="M114" s="32" t="s">
        <v>208</v>
      </c>
      <c r="N114" s="32"/>
      <c r="O114" s="32"/>
      <c r="P114" s="43" t="s">
        <v>1039</v>
      </c>
      <c r="Q114" s="32"/>
      <c r="R114" s="32"/>
      <c r="S114" s="36" t="s">
        <v>212</v>
      </c>
      <c r="T114" s="36" t="s">
        <v>755</v>
      </c>
      <c r="U114" s="36" t="s">
        <v>1040</v>
      </c>
      <c r="V114" s="32"/>
      <c r="W114" s="32" t="s">
        <v>1041</v>
      </c>
      <c r="X114" s="32"/>
      <c r="Y114" s="32"/>
      <c r="Z114" s="32" t="s">
        <v>490</v>
      </c>
      <c r="AA114" s="38" t="s">
        <v>217</v>
      </c>
      <c r="AB114" s="38" t="s">
        <v>217</v>
      </c>
      <c r="AC114" s="44" t="s">
        <v>335</v>
      </c>
      <c r="AD114" s="38" t="s">
        <v>217</v>
      </c>
      <c r="AE114" s="38" t="s">
        <v>217</v>
      </c>
      <c r="AF114" s="37" t="s">
        <v>216</v>
      </c>
      <c r="AG114" s="37" t="s">
        <v>216</v>
      </c>
      <c r="AH114" s="37" t="s">
        <v>216</v>
      </c>
      <c r="AI114" s="38" t="s">
        <v>217</v>
      </c>
    </row>
    <row r="115" customFormat="false" ht="57.75" hidden="false" customHeight="true" outlineLevel="0" collapsed="false">
      <c r="A115" s="39" t="n">
        <v>114</v>
      </c>
      <c r="B115" s="40" t="s">
        <v>199</v>
      </c>
      <c r="C115" s="39" t="s">
        <v>200</v>
      </c>
      <c r="D115" s="39" t="s">
        <v>201</v>
      </c>
      <c r="E115" s="41" t="s">
        <v>1042</v>
      </c>
      <c r="F115" s="39" t="s">
        <v>1036</v>
      </c>
      <c r="G115" s="39" t="s">
        <v>1037</v>
      </c>
      <c r="H115" s="39" t="s">
        <v>939</v>
      </c>
      <c r="I115" s="39" t="s">
        <v>1043</v>
      </c>
      <c r="J115" s="39"/>
      <c r="K115" s="42"/>
      <c r="L115" s="42"/>
      <c r="M115" s="39" t="s">
        <v>208</v>
      </c>
      <c r="N115" s="39"/>
      <c r="O115" s="39"/>
      <c r="P115" s="43" t="s">
        <v>1044</v>
      </c>
      <c r="Q115" s="39"/>
      <c r="R115" s="39"/>
      <c r="S115" s="36" t="s">
        <v>212</v>
      </c>
      <c r="T115" s="36" t="s">
        <v>755</v>
      </c>
      <c r="U115" s="36" t="s">
        <v>1045</v>
      </c>
      <c r="V115" s="39"/>
      <c r="W115" s="39" t="s">
        <v>1046</v>
      </c>
      <c r="X115" s="39"/>
      <c r="Y115" s="39"/>
      <c r="Z115" s="39" t="s">
        <v>505</v>
      </c>
      <c r="AA115" s="38" t="s">
        <v>217</v>
      </c>
      <c r="AB115" s="38" t="s">
        <v>217</v>
      </c>
      <c r="AC115" s="44" t="s">
        <v>335</v>
      </c>
      <c r="AD115" s="38" t="s">
        <v>217</v>
      </c>
      <c r="AE115" s="38" t="s">
        <v>217</v>
      </c>
      <c r="AF115" s="37" t="s">
        <v>216</v>
      </c>
      <c r="AG115" s="37" t="s">
        <v>216</v>
      </c>
      <c r="AH115" s="37" t="s">
        <v>216</v>
      </c>
      <c r="AI115" s="38" t="s">
        <v>217</v>
      </c>
    </row>
    <row r="116" customFormat="false" ht="57.75" hidden="false" customHeight="true" outlineLevel="0" collapsed="false">
      <c r="A116" s="32" t="n">
        <v>115</v>
      </c>
      <c r="B116" s="34" t="s">
        <v>199</v>
      </c>
      <c r="C116" s="32" t="s">
        <v>200</v>
      </c>
      <c r="D116" s="32" t="s">
        <v>201</v>
      </c>
      <c r="E116" s="31" t="s">
        <v>1047</v>
      </c>
      <c r="F116" s="32" t="s">
        <v>1048</v>
      </c>
      <c r="G116" s="32" t="s">
        <v>999</v>
      </c>
      <c r="H116" s="32" t="s">
        <v>1049</v>
      </c>
      <c r="I116" s="32" t="s">
        <v>1050</v>
      </c>
      <c r="J116" s="32"/>
      <c r="K116" s="35"/>
      <c r="L116" s="35"/>
      <c r="M116" s="32" t="s">
        <v>217</v>
      </c>
      <c r="N116" s="36" t="s">
        <v>106</v>
      </c>
      <c r="O116" s="32"/>
      <c r="P116" s="36" t="s">
        <v>1051</v>
      </c>
      <c r="Q116" s="36" t="s">
        <v>1052</v>
      </c>
      <c r="R116" s="32"/>
      <c r="S116" s="36" t="s">
        <v>212</v>
      </c>
      <c r="T116" s="36" t="s">
        <v>755</v>
      </c>
      <c r="U116" s="36" t="s">
        <v>1053</v>
      </c>
      <c r="V116" s="32"/>
      <c r="W116" s="32" t="s">
        <v>1054</v>
      </c>
      <c r="X116" s="32"/>
      <c r="Y116" s="32"/>
      <c r="Z116" s="32" t="s">
        <v>1055</v>
      </c>
      <c r="AA116" s="37" t="s">
        <v>216</v>
      </c>
      <c r="AB116" s="38" t="s">
        <v>217</v>
      </c>
      <c r="AC116" s="37" t="s">
        <v>216</v>
      </c>
      <c r="AD116" s="37" t="s">
        <v>216</v>
      </c>
      <c r="AE116" s="38" t="s">
        <v>217</v>
      </c>
      <c r="AF116" s="37" t="s">
        <v>216</v>
      </c>
      <c r="AG116" s="37" t="s">
        <v>216</v>
      </c>
      <c r="AH116" s="37" t="s">
        <v>216</v>
      </c>
      <c r="AI116" s="38" t="s">
        <v>217</v>
      </c>
    </row>
    <row r="117" customFormat="false" ht="57.75" hidden="false" customHeight="true" outlineLevel="0" collapsed="false">
      <c r="A117" s="39" t="n">
        <v>116</v>
      </c>
      <c r="B117" s="40" t="s">
        <v>199</v>
      </c>
      <c r="C117" s="39" t="s">
        <v>200</v>
      </c>
      <c r="D117" s="39" t="s">
        <v>201</v>
      </c>
      <c r="E117" s="41" t="s">
        <v>1056</v>
      </c>
      <c r="F117" s="39" t="s">
        <v>1057</v>
      </c>
      <c r="G117" s="39" t="s">
        <v>1024</v>
      </c>
      <c r="H117" s="39" t="s">
        <v>642</v>
      </c>
      <c r="I117" s="39" t="s">
        <v>1058</v>
      </c>
      <c r="J117" s="39" t="s">
        <v>1059</v>
      </c>
      <c r="K117" s="42"/>
      <c r="L117" s="42"/>
      <c r="M117" s="39" t="s">
        <v>208</v>
      </c>
      <c r="N117" s="39"/>
      <c r="O117" s="39"/>
      <c r="P117" s="39"/>
      <c r="Q117" s="39"/>
      <c r="R117" s="39"/>
      <c r="S117" s="36" t="s">
        <v>212</v>
      </c>
      <c r="T117" s="36" t="s">
        <v>755</v>
      </c>
      <c r="U117" s="36" t="s">
        <v>1060</v>
      </c>
      <c r="V117" s="39"/>
      <c r="W117" s="39" t="s">
        <v>302</v>
      </c>
      <c r="X117" s="39" t="s">
        <v>1061</v>
      </c>
      <c r="Y117" s="39"/>
      <c r="Z117" s="39" t="s">
        <v>1062</v>
      </c>
      <c r="AA117" s="38" t="s">
        <v>217</v>
      </c>
      <c r="AB117" s="38" t="s">
        <v>217</v>
      </c>
      <c r="AC117" s="38" t="s">
        <v>217</v>
      </c>
      <c r="AD117" s="38" t="s">
        <v>217</v>
      </c>
      <c r="AE117" s="38" t="s">
        <v>217</v>
      </c>
      <c r="AF117" s="37" t="s">
        <v>216</v>
      </c>
      <c r="AG117" s="37" t="s">
        <v>216</v>
      </c>
      <c r="AH117" s="37" t="s">
        <v>216</v>
      </c>
      <c r="AI117" s="38" t="s">
        <v>217</v>
      </c>
    </row>
    <row r="118" customFormat="false" ht="57.75" hidden="false" customHeight="true" outlineLevel="0" collapsed="false">
      <c r="A118" s="32" t="n">
        <v>117</v>
      </c>
      <c r="B118" s="34" t="s">
        <v>199</v>
      </c>
      <c r="C118" s="32" t="s">
        <v>200</v>
      </c>
      <c r="D118" s="32" t="s">
        <v>201</v>
      </c>
      <c r="E118" s="31" t="s">
        <v>1063</v>
      </c>
      <c r="F118" s="32" t="s">
        <v>482</v>
      </c>
      <c r="G118" s="32" t="s">
        <v>1064</v>
      </c>
      <c r="H118" s="32" t="s">
        <v>642</v>
      </c>
      <c r="I118" s="32" t="s">
        <v>1065</v>
      </c>
      <c r="J118" s="32" t="s">
        <v>1066</v>
      </c>
      <c r="K118" s="35" t="n">
        <v>5700</v>
      </c>
      <c r="L118" s="35" t="n">
        <v>5700</v>
      </c>
      <c r="M118" s="32" t="s">
        <v>208</v>
      </c>
      <c r="N118" s="36" t="s">
        <v>106</v>
      </c>
      <c r="O118" s="32"/>
      <c r="P118" s="36" t="s">
        <v>1067</v>
      </c>
      <c r="Q118" s="36" t="s">
        <v>1068</v>
      </c>
      <c r="R118" s="32"/>
      <c r="S118" s="32"/>
      <c r="T118" s="32"/>
      <c r="U118" s="36" t="s">
        <v>1069</v>
      </c>
      <c r="V118" s="32"/>
      <c r="W118" s="32" t="s">
        <v>1018</v>
      </c>
      <c r="X118" s="32"/>
      <c r="Y118" s="32"/>
      <c r="Z118" s="32" t="s">
        <v>1070</v>
      </c>
      <c r="AA118" s="37" t="s">
        <v>216</v>
      </c>
      <c r="AB118" s="38" t="s">
        <v>217</v>
      </c>
      <c r="AC118" s="37" t="s">
        <v>216</v>
      </c>
      <c r="AD118" s="37" t="s">
        <v>216</v>
      </c>
      <c r="AE118" s="38" t="s">
        <v>217</v>
      </c>
      <c r="AF118" s="38" t="s">
        <v>217</v>
      </c>
      <c r="AG118" s="38" t="s">
        <v>217</v>
      </c>
      <c r="AH118" s="37" t="s">
        <v>216</v>
      </c>
      <c r="AI118" s="38" t="s">
        <v>217</v>
      </c>
    </row>
    <row r="119" customFormat="false" ht="57.75" hidden="false" customHeight="true" outlineLevel="0" collapsed="false">
      <c r="A119" s="39" t="n">
        <v>118</v>
      </c>
      <c r="B119" s="40" t="s">
        <v>199</v>
      </c>
      <c r="C119" s="39" t="s">
        <v>200</v>
      </c>
      <c r="D119" s="39" t="s">
        <v>201</v>
      </c>
      <c r="E119" s="41" t="s">
        <v>1071</v>
      </c>
      <c r="F119" s="39" t="s">
        <v>1072</v>
      </c>
      <c r="G119" s="39" t="s">
        <v>1064</v>
      </c>
      <c r="H119" s="39" t="s">
        <v>385</v>
      </c>
      <c r="I119" s="39" t="s">
        <v>1073</v>
      </c>
      <c r="J119" s="39" t="s">
        <v>1074</v>
      </c>
      <c r="K119" s="42" t="n">
        <v>1500</v>
      </c>
      <c r="L119" s="42" t="n">
        <v>1700</v>
      </c>
      <c r="M119" s="39" t="s">
        <v>217</v>
      </c>
      <c r="N119" s="39"/>
      <c r="O119" s="39"/>
      <c r="P119" s="39"/>
      <c r="Q119" s="39"/>
      <c r="R119" s="39"/>
      <c r="S119" s="39"/>
      <c r="T119" s="36" t="s">
        <v>755</v>
      </c>
      <c r="U119" s="36" t="s">
        <v>590</v>
      </c>
      <c r="V119" s="39"/>
      <c r="W119" s="39"/>
      <c r="X119" s="39"/>
      <c r="Y119" s="39"/>
      <c r="Z119" s="39" t="s">
        <v>533</v>
      </c>
      <c r="AA119" s="38" t="s">
        <v>217</v>
      </c>
      <c r="AB119" s="38" t="s">
        <v>217</v>
      </c>
      <c r="AC119" s="38" t="s">
        <v>217</v>
      </c>
      <c r="AD119" s="38" t="s">
        <v>217</v>
      </c>
      <c r="AE119" s="38" t="s">
        <v>217</v>
      </c>
      <c r="AF119" s="38" t="s">
        <v>217</v>
      </c>
      <c r="AG119" s="37" t="s">
        <v>216</v>
      </c>
      <c r="AH119" s="37" t="s">
        <v>216</v>
      </c>
      <c r="AI119" s="38" t="s">
        <v>217</v>
      </c>
    </row>
    <row r="120" customFormat="false" ht="57.75" hidden="false" customHeight="true" outlineLevel="0" collapsed="false">
      <c r="A120" s="32" t="n">
        <v>119</v>
      </c>
      <c r="B120" s="34" t="s">
        <v>199</v>
      </c>
      <c r="C120" s="32" t="s">
        <v>200</v>
      </c>
      <c r="D120" s="32" t="s">
        <v>201</v>
      </c>
      <c r="E120" s="31" t="s">
        <v>1075</v>
      </c>
      <c r="F120" s="32" t="s">
        <v>1072</v>
      </c>
      <c r="G120" s="32" t="s">
        <v>1024</v>
      </c>
      <c r="H120" s="32" t="s">
        <v>939</v>
      </c>
      <c r="I120" s="32" t="s">
        <v>1076</v>
      </c>
      <c r="J120" s="32"/>
      <c r="K120" s="35"/>
      <c r="L120" s="35"/>
      <c r="M120" s="32" t="s">
        <v>208</v>
      </c>
      <c r="N120" s="32"/>
      <c r="O120" s="32"/>
      <c r="P120" s="32"/>
      <c r="Q120" s="32"/>
      <c r="R120" s="32"/>
      <c r="S120" s="32"/>
      <c r="T120" s="32"/>
      <c r="U120" s="32"/>
      <c r="V120" s="32"/>
      <c r="W120" s="32" t="s">
        <v>656</v>
      </c>
      <c r="X120" s="32"/>
      <c r="Y120" s="32"/>
      <c r="Z120" s="32" t="s">
        <v>1077</v>
      </c>
      <c r="AA120" s="38" t="s">
        <v>217</v>
      </c>
      <c r="AB120" s="38" t="s">
        <v>217</v>
      </c>
      <c r="AC120" s="38" t="s">
        <v>217</v>
      </c>
      <c r="AD120" s="38" t="s">
        <v>217</v>
      </c>
      <c r="AE120" s="38" t="s">
        <v>217</v>
      </c>
      <c r="AF120" s="38" t="s">
        <v>217</v>
      </c>
      <c r="AG120" s="38" t="s">
        <v>217</v>
      </c>
      <c r="AH120" s="38" t="s">
        <v>217</v>
      </c>
      <c r="AI120" s="38" t="s">
        <v>217</v>
      </c>
    </row>
    <row r="121" customFormat="false" ht="57.75" hidden="false" customHeight="true" outlineLevel="0" collapsed="false">
      <c r="A121" s="39" t="n">
        <v>120</v>
      </c>
      <c r="B121" s="40" t="s">
        <v>199</v>
      </c>
      <c r="C121" s="39" t="s">
        <v>200</v>
      </c>
      <c r="D121" s="39" t="s">
        <v>201</v>
      </c>
      <c r="E121" s="41" t="s">
        <v>1078</v>
      </c>
      <c r="F121" s="39" t="s">
        <v>1079</v>
      </c>
      <c r="G121" s="39" t="s">
        <v>1024</v>
      </c>
      <c r="H121" s="39" t="s">
        <v>349</v>
      </c>
      <c r="I121" s="39" t="s">
        <v>1080</v>
      </c>
      <c r="J121" s="39"/>
      <c r="K121" s="42"/>
      <c r="L121" s="42"/>
      <c r="M121" s="39" t="s">
        <v>217</v>
      </c>
      <c r="N121" s="36" t="s">
        <v>106</v>
      </c>
      <c r="O121" s="39"/>
      <c r="P121" s="39"/>
      <c r="Q121" s="39"/>
      <c r="R121" s="39"/>
      <c r="S121" s="36" t="s">
        <v>1081</v>
      </c>
      <c r="T121" s="36" t="s">
        <v>755</v>
      </c>
      <c r="U121" s="36" t="s">
        <v>632</v>
      </c>
      <c r="V121" s="39"/>
      <c r="W121" s="39" t="s">
        <v>656</v>
      </c>
      <c r="X121" s="39"/>
      <c r="Y121" s="39"/>
      <c r="Z121" s="39" t="s">
        <v>599</v>
      </c>
      <c r="AA121" s="37" t="s">
        <v>216</v>
      </c>
      <c r="AB121" s="38" t="s">
        <v>217</v>
      </c>
      <c r="AC121" s="38" t="s">
        <v>217</v>
      </c>
      <c r="AD121" s="38" t="s">
        <v>217</v>
      </c>
      <c r="AE121" s="38" t="s">
        <v>217</v>
      </c>
      <c r="AF121" s="37" t="s">
        <v>216</v>
      </c>
      <c r="AG121" s="37" t="s">
        <v>216</v>
      </c>
      <c r="AH121" s="37" t="s">
        <v>216</v>
      </c>
      <c r="AI121" s="38" t="s">
        <v>217</v>
      </c>
    </row>
    <row r="122" customFormat="false" ht="57.75" hidden="false" customHeight="true" outlineLevel="0" collapsed="false">
      <c r="A122" s="32" t="n">
        <v>121</v>
      </c>
      <c r="B122" s="34" t="s">
        <v>199</v>
      </c>
      <c r="C122" s="32" t="s">
        <v>200</v>
      </c>
      <c r="D122" s="32" t="s">
        <v>201</v>
      </c>
      <c r="E122" s="31" t="s">
        <v>1082</v>
      </c>
      <c r="F122" s="32" t="s">
        <v>1083</v>
      </c>
      <c r="G122" s="32" t="s">
        <v>1084</v>
      </c>
      <c r="H122" s="32" t="s">
        <v>349</v>
      </c>
      <c r="I122" s="32" t="s">
        <v>614</v>
      </c>
      <c r="J122" s="32"/>
      <c r="K122" s="35"/>
      <c r="L122" s="35"/>
      <c r="M122" s="32" t="s">
        <v>217</v>
      </c>
      <c r="N122" s="32"/>
      <c r="O122" s="32"/>
      <c r="P122" s="32"/>
      <c r="Q122" s="32"/>
      <c r="R122" s="32"/>
      <c r="S122" s="32"/>
      <c r="T122" s="32"/>
      <c r="U122" s="32"/>
      <c r="V122" s="32"/>
      <c r="W122" s="32"/>
      <c r="X122" s="32" t="s">
        <v>1085</v>
      </c>
      <c r="Y122" s="32"/>
      <c r="Z122" s="32" t="s">
        <v>1086</v>
      </c>
      <c r="AA122" s="38" t="s">
        <v>217</v>
      </c>
      <c r="AB122" s="38" t="s">
        <v>217</v>
      </c>
      <c r="AC122" s="38" t="s">
        <v>217</v>
      </c>
      <c r="AD122" s="38" t="s">
        <v>217</v>
      </c>
      <c r="AE122" s="38" t="s">
        <v>217</v>
      </c>
      <c r="AF122" s="38" t="s">
        <v>217</v>
      </c>
      <c r="AG122" s="38" t="s">
        <v>217</v>
      </c>
      <c r="AH122" s="38" t="s">
        <v>217</v>
      </c>
      <c r="AI122" s="38" t="s">
        <v>217</v>
      </c>
    </row>
    <row r="123" customFormat="false" ht="57.75" hidden="false" customHeight="true" outlineLevel="0" collapsed="false">
      <c r="A123" s="39" t="n">
        <v>122</v>
      </c>
      <c r="B123" s="40" t="s">
        <v>199</v>
      </c>
      <c r="C123" s="39" t="s">
        <v>200</v>
      </c>
      <c r="D123" s="39" t="s">
        <v>201</v>
      </c>
      <c r="E123" s="41" t="s">
        <v>1087</v>
      </c>
      <c r="F123" s="39"/>
      <c r="G123" s="39" t="s">
        <v>1024</v>
      </c>
      <c r="H123" s="39" t="s">
        <v>1088</v>
      </c>
      <c r="I123" s="39" t="s">
        <v>514</v>
      </c>
      <c r="J123" s="39"/>
      <c r="K123" s="42"/>
      <c r="L123" s="42"/>
      <c r="M123" s="39" t="s">
        <v>217</v>
      </c>
      <c r="N123" s="39"/>
      <c r="O123" s="39"/>
      <c r="P123" s="39"/>
      <c r="Q123" s="39"/>
      <c r="R123" s="39"/>
      <c r="S123" s="39"/>
      <c r="T123" s="36" t="s">
        <v>755</v>
      </c>
      <c r="U123" s="39"/>
      <c r="V123" s="39"/>
      <c r="W123" s="39" t="s">
        <v>1089</v>
      </c>
      <c r="X123" s="39"/>
      <c r="Y123" s="39"/>
      <c r="Z123" s="39"/>
      <c r="AA123" s="38" t="s">
        <v>217</v>
      </c>
      <c r="AB123" s="38" t="s">
        <v>217</v>
      </c>
      <c r="AC123" s="38" t="s">
        <v>217</v>
      </c>
      <c r="AD123" s="38" t="s">
        <v>217</v>
      </c>
      <c r="AE123" s="38" t="s">
        <v>217</v>
      </c>
      <c r="AF123" s="38" t="s">
        <v>217</v>
      </c>
      <c r="AG123" s="37" t="s">
        <v>216</v>
      </c>
      <c r="AH123" s="38" t="s">
        <v>217</v>
      </c>
      <c r="AI123" s="38" t="s">
        <v>217</v>
      </c>
    </row>
    <row r="124" customFormat="false" ht="57.75" hidden="false" customHeight="true" outlineLevel="0" collapsed="false">
      <c r="A124" s="32" t="n">
        <v>123</v>
      </c>
      <c r="B124" s="34" t="s">
        <v>199</v>
      </c>
      <c r="C124" s="32" t="s">
        <v>200</v>
      </c>
      <c r="D124" s="32" t="s">
        <v>201</v>
      </c>
      <c r="E124" s="31" t="s">
        <v>1090</v>
      </c>
      <c r="F124" s="32" t="s">
        <v>985</v>
      </c>
      <c r="G124" s="32" t="s">
        <v>1091</v>
      </c>
      <c r="H124" s="32" t="s">
        <v>205</v>
      </c>
      <c r="I124" s="32" t="s">
        <v>1092</v>
      </c>
      <c r="J124" s="32" t="s">
        <v>1093</v>
      </c>
      <c r="K124" s="35" t="n">
        <v>846</v>
      </c>
      <c r="L124" s="35" t="n">
        <v>3315</v>
      </c>
      <c r="M124" s="32" t="s">
        <v>208</v>
      </c>
      <c r="N124" s="32"/>
      <c r="O124" s="32"/>
      <c r="P124" s="32"/>
      <c r="Q124" s="32"/>
      <c r="R124" s="32"/>
      <c r="S124" s="36" t="s">
        <v>322</v>
      </c>
      <c r="T124" s="36" t="s">
        <v>755</v>
      </c>
      <c r="U124" s="36" t="s">
        <v>1094</v>
      </c>
      <c r="V124" s="32"/>
      <c r="W124" s="32" t="s">
        <v>1095</v>
      </c>
      <c r="X124" s="32"/>
      <c r="Y124" s="32"/>
      <c r="Z124" s="32" t="s">
        <v>1096</v>
      </c>
      <c r="AA124" s="38" t="s">
        <v>217</v>
      </c>
      <c r="AB124" s="38" t="s">
        <v>217</v>
      </c>
      <c r="AC124" s="38" t="s">
        <v>217</v>
      </c>
      <c r="AD124" s="38" t="s">
        <v>217</v>
      </c>
      <c r="AE124" s="38" t="s">
        <v>217</v>
      </c>
      <c r="AF124" s="37" t="s">
        <v>216</v>
      </c>
      <c r="AG124" s="37" t="s">
        <v>216</v>
      </c>
      <c r="AH124" s="37" t="s">
        <v>216</v>
      </c>
      <c r="AI124" s="38" t="s">
        <v>217</v>
      </c>
    </row>
    <row r="125" customFormat="false" ht="57.75" hidden="false" customHeight="true" outlineLevel="0" collapsed="false">
      <c r="A125" s="39" t="n">
        <v>124</v>
      </c>
      <c r="B125" s="40" t="s">
        <v>199</v>
      </c>
      <c r="C125" s="39" t="s">
        <v>200</v>
      </c>
      <c r="D125" s="39" t="s">
        <v>201</v>
      </c>
      <c r="E125" s="41" t="s">
        <v>1097</v>
      </c>
      <c r="F125" s="39" t="s">
        <v>1098</v>
      </c>
      <c r="G125" s="39" t="s">
        <v>1099</v>
      </c>
      <c r="H125" s="39" t="s">
        <v>1100</v>
      </c>
      <c r="I125" s="39" t="s">
        <v>1101</v>
      </c>
      <c r="J125" s="39"/>
      <c r="K125" s="42"/>
      <c r="L125" s="42"/>
      <c r="M125" s="39" t="s">
        <v>217</v>
      </c>
      <c r="N125" s="39"/>
      <c r="O125" s="39"/>
      <c r="P125" s="39"/>
      <c r="Q125" s="39"/>
      <c r="R125" s="39"/>
      <c r="S125" s="39"/>
      <c r="T125" s="39"/>
      <c r="U125" s="39"/>
      <c r="V125" s="39"/>
      <c r="W125" s="39" t="s">
        <v>1102</v>
      </c>
      <c r="X125" s="39"/>
      <c r="Y125" s="39"/>
      <c r="Z125" s="39" t="s">
        <v>533</v>
      </c>
      <c r="AA125" s="38" t="s">
        <v>217</v>
      </c>
      <c r="AB125" s="38" t="s">
        <v>217</v>
      </c>
      <c r="AC125" s="38" t="s">
        <v>217</v>
      </c>
      <c r="AD125" s="38" t="s">
        <v>217</v>
      </c>
      <c r="AE125" s="38" t="s">
        <v>217</v>
      </c>
      <c r="AF125" s="38" t="s">
        <v>217</v>
      </c>
      <c r="AG125" s="38" t="s">
        <v>217</v>
      </c>
      <c r="AH125" s="38" t="s">
        <v>217</v>
      </c>
      <c r="AI125" s="38" t="s">
        <v>217</v>
      </c>
    </row>
    <row r="126" customFormat="false" ht="57.75" hidden="false" customHeight="true" outlineLevel="0" collapsed="false">
      <c r="A126" s="32" t="n">
        <v>125</v>
      </c>
      <c r="B126" s="34" t="s">
        <v>199</v>
      </c>
      <c r="C126" s="32" t="s">
        <v>200</v>
      </c>
      <c r="D126" s="32" t="s">
        <v>201</v>
      </c>
      <c r="E126" s="31" t="s">
        <v>1103</v>
      </c>
      <c r="F126" s="32" t="s">
        <v>438</v>
      </c>
      <c r="G126" s="32" t="s">
        <v>1104</v>
      </c>
      <c r="H126" s="32" t="s">
        <v>1105</v>
      </c>
      <c r="I126" s="32" t="s">
        <v>1106</v>
      </c>
      <c r="J126" s="32"/>
      <c r="K126" s="35"/>
      <c r="L126" s="35"/>
      <c r="M126" s="32" t="s">
        <v>217</v>
      </c>
      <c r="N126" s="32"/>
      <c r="O126" s="32"/>
      <c r="P126" s="32"/>
      <c r="Q126" s="36" t="s">
        <v>517</v>
      </c>
      <c r="R126" s="32"/>
      <c r="S126" s="32"/>
      <c r="T126" s="36" t="s">
        <v>755</v>
      </c>
      <c r="U126" s="32"/>
      <c r="V126" s="32"/>
      <c r="W126" s="32" t="s">
        <v>656</v>
      </c>
      <c r="X126" s="32"/>
      <c r="Y126" s="32"/>
      <c r="Z126" s="32" t="s">
        <v>345</v>
      </c>
      <c r="AA126" s="38" t="s">
        <v>217</v>
      </c>
      <c r="AB126" s="38" t="s">
        <v>217</v>
      </c>
      <c r="AC126" s="38" t="s">
        <v>217</v>
      </c>
      <c r="AD126" s="37" t="s">
        <v>216</v>
      </c>
      <c r="AE126" s="38" t="s">
        <v>217</v>
      </c>
      <c r="AF126" s="38" t="s">
        <v>217</v>
      </c>
      <c r="AG126" s="37" t="s">
        <v>216</v>
      </c>
      <c r="AH126" s="38" t="s">
        <v>217</v>
      </c>
      <c r="AI126" s="38" t="s">
        <v>217</v>
      </c>
    </row>
    <row r="127" customFormat="false" ht="57.75" hidden="false" customHeight="true" outlineLevel="0" collapsed="false">
      <c r="A127" s="39" t="n">
        <v>126</v>
      </c>
      <c r="B127" s="40" t="s">
        <v>199</v>
      </c>
      <c r="C127" s="39" t="s">
        <v>200</v>
      </c>
      <c r="D127" s="39" t="s">
        <v>201</v>
      </c>
      <c r="E127" s="41" t="s">
        <v>1107</v>
      </c>
      <c r="F127" s="39" t="s">
        <v>1108</v>
      </c>
      <c r="G127" s="39" t="s">
        <v>1109</v>
      </c>
      <c r="H127" s="39" t="s">
        <v>642</v>
      </c>
      <c r="I127" s="39" t="s">
        <v>1110</v>
      </c>
      <c r="J127" s="39" t="s">
        <v>1111</v>
      </c>
      <c r="K127" s="42" t="n">
        <v>2995</v>
      </c>
      <c r="L127" s="42" t="n">
        <v>3770</v>
      </c>
      <c r="M127" s="39" t="s">
        <v>208</v>
      </c>
      <c r="N127" s="36" t="s">
        <v>106</v>
      </c>
      <c r="O127" s="39"/>
      <c r="P127" s="36" t="s">
        <v>1112</v>
      </c>
      <c r="Q127" s="39"/>
      <c r="R127" s="39"/>
      <c r="S127" s="39"/>
      <c r="T127" s="36" t="s">
        <v>755</v>
      </c>
      <c r="U127" s="36" t="s">
        <v>1113</v>
      </c>
      <c r="V127" s="39"/>
      <c r="W127" s="39" t="s">
        <v>1114</v>
      </c>
      <c r="X127" s="39"/>
      <c r="Y127" s="39"/>
      <c r="Z127" s="39" t="s">
        <v>829</v>
      </c>
      <c r="AA127" s="37" t="s">
        <v>216</v>
      </c>
      <c r="AB127" s="38" t="s">
        <v>217</v>
      </c>
      <c r="AC127" s="37" t="s">
        <v>216</v>
      </c>
      <c r="AD127" s="38" t="s">
        <v>217</v>
      </c>
      <c r="AE127" s="38" t="s">
        <v>217</v>
      </c>
      <c r="AF127" s="38" t="s">
        <v>217</v>
      </c>
      <c r="AG127" s="37" t="s">
        <v>216</v>
      </c>
      <c r="AH127" s="37" t="s">
        <v>216</v>
      </c>
      <c r="AI127" s="38" t="s">
        <v>217</v>
      </c>
    </row>
    <row r="128" customFormat="false" ht="57.75" hidden="false" customHeight="true" outlineLevel="0" collapsed="false">
      <c r="A128" s="32" t="n">
        <v>127</v>
      </c>
      <c r="B128" s="34" t="s">
        <v>199</v>
      </c>
      <c r="C128" s="32" t="s">
        <v>200</v>
      </c>
      <c r="D128" s="32" t="s">
        <v>201</v>
      </c>
      <c r="E128" s="31" t="s">
        <v>1115</v>
      </c>
      <c r="F128" s="32" t="s">
        <v>1116</v>
      </c>
      <c r="G128" s="32" t="s">
        <v>1117</v>
      </c>
      <c r="H128" s="32" t="s">
        <v>930</v>
      </c>
      <c r="I128" s="32" t="s">
        <v>1118</v>
      </c>
      <c r="J128" s="32"/>
      <c r="K128" s="35"/>
      <c r="L128" s="35"/>
      <c r="M128" s="32" t="s">
        <v>217</v>
      </c>
      <c r="N128" s="32"/>
      <c r="O128" s="36" t="s">
        <v>1119</v>
      </c>
      <c r="P128" s="32"/>
      <c r="Q128" s="32"/>
      <c r="R128" s="36" t="s">
        <v>1120</v>
      </c>
      <c r="S128" s="32"/>
      <c r="T128" s="32"/>
      <c r="U128" s="32"/>
      <c r="V128" s="32"/>
      <c r="W128" s="32" t="s">
        <v>302</v>
      </c>
      <c r="X128" s="32"/>
      <c r="Y128" s="32"/>
      <c r="Z128" s="32" t="s">
        <v>599</v>
      </c>
      <c r="AA128" s="38" t="s">
        <v>217</v>
      </c>
      <c r="AB128" s="37" t="s">
        <v>216</v>
      </c>
      <c r="AC128" s="38" t="s">
        <v>217</v>
      </c>
      <c r="AD128" s="38" t="s">
        <v>217</v>
      </c>
      <c r="AE128" s="37" t="s">
        <v>216</v>
      </c>
      <c r="AF128" s="38" t="s">
        <v>217</v>
      </c>
      <c r="AG128" s="38" t="s">
        <v>217</v>
      </c>
      <c r="AH128" s="38" t="s">
        <v>217</v>
      </c>
      <c r="AI128" s="38" t="s">
        <v>217</v>
      </c>
    </row>
    <row r="129" customFormat="false" ht="57.75" hidden="false" customHeight="true" outlineLevel="0" collapsed="false">
      <c r="A129" s="39" t="n">
        <v>128</v>
      </c>
      <c r="B129" s="40" t="s">
        <v>199</v>
      </c>
      <c r="C129" s="39" t="s">
        <v>200</v>
      </c>
      <c r="D129" s="39" t="s">
        <v>201</v>
      </c>
      <c r="E129" s="41" t="s">
        <v>1121</v>
      </c>
      <c r="F129" s="39" t="s">
        <v>1122</v>
      </c>
      <c r="G129" s="39" t="s">
        <v>1123</v>
      </c>
      <c r="H129" s="39" t="s">
        <v>349</v>
      </c>
      <c r="I129" s="39" t="s">
        <v>1124</v>
      </c>
      <c r="J129" s="39"/>
      <c r="K129" s="42"/>
      <c r="L129" s="42"/>
      <c r="M129" s="39" t="s">
        <v>217</v>
      </c>
      <c r="N129" s="39"/>
      <c r="O129" s="39"/>
      <c r="P129" s="39"/>
      <c r="Q129" s="39"/>
      <c r="R129" s="39"/>
      <c r="S129" s="39"/>
      <c r="T129" s="36" t="s">
        <v>755</v>
      </c>
      <c r="U129" s="36" t="s">
        <v>1125</v>
      </c>
      <c r="V129" s="39"/>
      <c r="W129" s="39" t="s">
        <v>1126</v>
      </c>
      <c r="X129" s="39"/>
      <c r="Y129" s="39"/>
      <c r="Z129" s="39" t="s">
        <v>505</v>
      </c>
      <c r="AA129" s="38" t="s">
        <v>217</v>
      </c>
      <c r="AB129" s="38" t="s">
        <v>217</v>
      </c>
      <c r="AC129" s="38" t="s">
        <v>217</v>
      </c>
      <c r="AD129" s="38" t="s">
        <v>217</v>
      </c>
      <c r="AE129" s="38" t="s">
        <v>217</v>
      </c>
      <c r="AF129" s="38" t="s">
        <v>217</v>
      </c>
      <c r="AG129" s="37" t="s">
        <v>216</v>
      </c>
      <c r="AH129" s="37" t="s">
        <v>216</v>
      </c>
      <c r="AI129" s="38" t="s">
        <v>217</v>
      </c>
    </row>
    <row r="130" customFormat="false" ht="57.75" hidden="false" customHeight="true" outlineLevel="0" collapsed="false">
      <c r="A130" s="32" t="n">
        <v>129</v>
      </c>
      <c r="B130" s="34" t="s">
        <v>199</v>
      </c>
      <c r="C130" s="32" t="s">
        <v>200</v>
      </c>
      <c r="D130" s="32" t="s">
        <v>201</v>
      </c>
      <c r="E130" s="31" t="s">
        <v>1127</v>
      </c>
      <c r="F130" s="32" t="s">
        <v>1128</v>
      </c>
      <c r="G130" s="32" t="s">
        <v>1123</v>
      </c>
      <c r="H130" s="32" t="s">
        <v>385</v>
      </c>
      <c r="I130" s="32" t="s">
        <v>1129</v>
      </c>
      <c r="J130" s="32"/>
      <c r="K130" s="35"/>
      <c r="L130" s="35"/>
      <c r="M130" s="32" t="s">
        <v>217</v>
      </c>
      <c r="N130" s="32"/>
      <c r="O130" s="32"/>
      <c r="P130" s="32"/>
      <c r="Q130" s="32"/>
      <c r="R130" s="32"/>
      <c r="S130" s="36" t="s">
        <v>322</v>
      </c>
      <c r="T130" s="32"/>
      <c r="U130" s="32"/>
      <c r="V130" s="32"/>
      <c r="W130" s="32" t="s">
        <v>1130</v>
      </c>
      <c r="X130" s="32"/>
      <c r="Y130" s="32"/>
      <c r="Z130" s="32" t="s">
        <v>443</v>
      </c>
      <c r="AA130" s="38" t="s">
        <v>217</v>
      </c>
      <c r="AB130" s="38" t="s">
        <v>217</v>
      </c>
      <c r="AC130" s="38" t="s">
        <v>217</v>
      </c>
      <c r="AD130" s="38" t="s">
        <v>217</v>
      </c>
      <c r="AE130" s="38" t="s">
        <v>217</v>
      </c>
      <c r="AF130" s="37" t="s">
        <v>216</v>
      </c>
      <c r="AG130" s="38" t="s">
        <v>217</v>
      </c>
      <c r="AH130" s="38" t="s">
        <v>217</v>
      </c>
      <c r="AI130" s="38" t="s">
        <v>217</v>
      </c>
    </row>
    <row r="131" customFormat="false" ht="57.75" hidden="false" customHeight="true" outlineLevel="0" collapsed="false">
      <c r="A131" s="39" t="n">
        <v>130</v>
      </c>
      <c r="B131" s="40" t="s">
        <v>199</v>
      </c>
      <c r="C131" s="39" t="s">
        <v>200</v>
      </c>
      <c r="D131" s="39" t="s">
        <v>201</v>
      </c>
      <c r="E131" s="41" t="s">
        <v>1131</v>
      </c>
      <c r="F131" s="39" t="s">
        <v>1132</v>
      </c>
      <c r="G131" s="39" t="s">
        <v>1133</v>
      </c>
      <c r="H131" s="39" t="s">
        <v>349</v>
      </c>
      <c r="I131" s="39" t="s">
        <v>1134</v>
      </c>
      <c r="J131" s="39"/>
      <c r="K131" s="42"/>
      <c r="L131" s="42"/>
      <c r="M131" s="39" t="s">
        <v>217</v>
      </c>
      <c r="N131" s="39"/>
      <c r="O131" s="39"/>
      <c r="P131" s="39"/>
      <c r="Q131" s="39"/>
      <c r="R131" s="39"/>
      <c r="S131" s="39"/>
      <c r="T131" s="39"/>
      <c r="U131" s="39"/>
      <c r="V131" s="39"/>
      <c r="W131" s="39"/>
      <c r="X131" s="39" t="s">
        <v>746</v>
      </c>
      <c r="Y131" s="39"/>
      <c r="Z131" s="39" t="s">
        <v>273</v>
      </c>
      <c r="AA131" s="38" t="s">
        <v>217</v>
      </c>
      <c r="AB131" s="38" t="s">
        <v>217</v>
      </c>
      <c r="AC131" s="38" t="s">
        <v>217</v>
      </c>
      <c r="AD131" s="38" t="s">
        <v>217</v>
      </c>
      <c r="AE131" s="38" t="s">
        <v>217</v>
      </c>
      <c r="AF131" s="38" t="s">
        <v>217</v>
      </c>
      <c r="AG131" s="38" t="s">
        <v>217</v>
      </c>
      <c r="AH131" s="38" t="s">
        <v>217</v>
      </c>
      <c r="AI131" s="38" t="s">
        <v>217</v>
      </c>
    </row>
    <row r="132" customFormat="false" ht="57.75" hidden="false" customHeight="true" outlineLevel="0" collapsed="false">
      <c r="A132" s="32" t="n">
        <v>131</v>
      </c>
      <c r="B132" s="34" t="s">
        <v>199</v>
      </c>
      <c r="C132" s="32" t="s">
        <v>200</v>
      </c>
      <c r="D132" s="32" t="s">
        <v>201</v>
      </c>
      <c r="E132" s="31" t="s">
        <v>1135</v>
      </c>
      <c r="F132" s="32" t="s">
        <v>1136</v>
      </c>
      <c r="G132" s="32" t="s">
        <v>1137</v>
      </c>
      <c r="H132" s="32" t="s">
        <v>349</v>
      </c>
      <c r="I132" s="32" t="s">
        <v>1138</v>
      </c>
      <c r="J132" s="32"/>
      <c r="K132" s="35"/>
      <c r="L132" s="35"/>
      <c r="M132" s="32" t="s">
        <v>217</v>
      </c>
      <c r="N132" s="32"/>
      <c r="O132" s="32"/>
      <c r="P132" s="32"/>
      <c r="Q132" s="36" t="s">
        <v>517</v>
      </c>
      <c r="R132" s="32"/>
      <c r="S132" s="32"/>
      <c r="T132" s="36" t="s">
        <v>755</v>
      </c>
      <c r="U132" s="36" t="s">
        <v>1139</v>
      </c>
      <c r="V132" s="32"/>
      <c r="W132" s="32"/>
      <c r="X132" s="32"/>
      <c r="Y132" s="32"/>
      <c r="Z132" s="32"/>
      <c r="AA132" s="38" t="s">
        <v>217</v>
      </c>
      <c r="AB132" s="38" t="s">
        <v>217</v>
      </c>
      <c r="AC132" s="38" t="s">
        <v>217</v>
      </c>
      <c r="AD132" s="37" t="s">
        <v>216</v>
      </c>
      <c r="AE132" s="38" t="s">
        <v>217</v>
      </c>
      <c r="AF132" s="38" t="s">
        <v>217</v>
      </c>
      <c r="AG132" s="37" t="s">
        <v>216</v>
      </c>
      <c r="AH132" s="37" t="s">
        <v>216</v>
      </c>
      <c r="AI132" s="38" t="s">
        <v>217</v>
      </c>
    </row>
    <row r="133" customFormat="false" ht="57.75" hidden="false" customHeight="true" outlineLevel="0" collapsed="false">
      <c r="A133" s="39" t="n">
        <v>132</v>
      </c>
      <c r="B133" s="40" t="s">
        <v>199</v>
      </c>
      <c r="C133" s="39" t="s">
        <v>200</v>
      </c>
      <c r="D133" s="39" t="s">
        <v>201</v>
      </c>
      <c r="E133" s="41" t="s">
        <v>1140</v>
      </c>
      <c r="F133" s="39" t="s">
        <v>1141</v>
      </c>
      <c r="G133" s="39" t="s">
        <v>1142</v>
      </c>
      <c r="H133" s="39" t="s">
        <v>349</v>
      </c>
      <c r="I133" s="39" t="s">
        <v>817</v>
      </c>
      <c r="J133" s="39"/>
      <c r="K133" s="42"/>
      <c r="L133" s="42"/>
      <c r="M133" s="39" t="s">
        <v>217</v>
      </c>
      <c r="N133" s="39"/>
      <c r="O133" s="36" t="s">
        <v>1143</v>
      </c>
      <c r="P133" s="39"/>
      <c r="Q133" s="39"/>
      <c r="R133" s="39"/>
      <c r="S133" s="39"/>
      <c r="T133" s="39"/>
      <c r="U133" s="36" t="s">
        <v>1144</v>
      </c>
      <c r="V133" s="39"/>
      <c r="W133" s="39" t="s">
        <v>1145</v>
      </c>
      <c r="X133" s="39" t="s">
        <v>1146</v>
      </c>
      <c r="Y133" s="39"/>
      <c r="Z133" s="39"/>
      <c r="AA133" s="38" t="s">
        <v>217</v>
      </c>
      <c r="AB133" s="37" t="s">
        <v>216</v>
      </c>
      <c r="AC133" s="38" t="s">
        <v>217</v>
      </c>
      <c r="AD133" s="38" t="s">
        <v>217</v>
      </c>
      <c r="AE133" s="38" t="s">
        <v>217</v>
      </c>
      <c r="AF133" s="38" t="s">
        <v>217</v>
      </c>
      <c r="AG133" s="38" t="s">
        <v>217</v>
      </c>
      <c r="AH133" s="37" t="s">
        <v>216</v>
      </c>
      <c r="AI133" s="38" t="s">
        <v>217</v>
      </c>
    </row>
    <row r="134" customFormat="false" ht="57.75" hidden="false" customHeight="true" outlineLevel="0" collapsed="false">
      <c r="A134" s="32" t="n">
        <v>133</v>
      </c>
      <c r="B134" s="34" t="s">
        <v>199</v>
      </c>
      <c r="C134" s="32" t="s">
        <v>200</v>
      </c>
      <c r="D134" s="32" t="s">
        <v>201</v>
      </c>
      <c r="E134" s="31" t="s">
        <v>1147</v>
      </c>
      <c r="F134" s="32" t="s">
        <v>1148</v>
      </c>
      <c r="G134" s="32" t="s">
        <v>1149</v>
      </c>
      <c r="H134" s="32" t="s">
        <v>349</v>
      </c>
      <c r="I134" s="32" t="s">
        <v>684</v>
      </c>
      <c r="J134" s="32"/>
      <c r="K134" s="35"/>
      <c r="L134" s="35"/>
      <c r="M134" s="32" t="s">
        <v>217</v>
      </c>
      <c r="N134" s="32"/>
      <c r="O134" s="32"/>
      <c r="P134" s="32"/>
      <c r="Q134" s="32"/>
      <c r="R134" s="32"/>
      <c r="S134" s="32"/>
      <c r="T134" s="32"/>
      <c r="U134" s="32"/>
      <c r="V134" s="32"/>
      <c r="W134" s="32" t="s">
        <v>302</v>
      </c>
      <c r="X134" s="32"/>
      <c r="Y134" s="32"/>
      <c r="Z134" s="32"/>
      <c r="AA134" s="38" t="s">
        <v>217</v>
      </c>
      <c r="AB134" s="38" t="s">
        <v>217</v>
      </c>
      <c r="AC134" s="38" t="s">
        <v>217</v>
      </c>
      <c r="AD134" s="38" t="s">
        <v>217</v>
      </c>
      <c r="AE134" s="38" t="s">
        <v>217</v>
      </c>
      <c r="AF134" s="38" t="s">
        <v>217</v>
      </c>
      <c r="AG134" s="38" t="s">
        <v>217</v>
      </c>
      <c r="AH134" s="38" t="s">
        <v>217</v>
      </c>
      <c r="AI134" s="38" t="s">
        <v>217</v>
      </c>
    </row>
    <row r="135" customFormat="false" ht="57.75" hidden="false" customHeight="true" outlineLevel="0" collapsed="false">
      <c r="A135" s="39" t="n">
        <v>134</v>
      </c>
      <c r="B135" s="40" t="s">
        <v>199</v>
      </c>
      <c r="C135" s="39" t="s">
        <v>200</v>
      </c>
      <c r="D135" s="39" t="s">
        <v>201</v>
      </c>
      <c r="E135" s="41" t="s">
        <v>1150</v>
      </c>
      <c r="F135" s="39" t="s">
        <v>1151</v>
      </c>
      <c r="G135" s="39" t="s">
        <v>601</v>
      </c>
      <c r="H135" s="39" t="s">
        <v>642</v>
      </c>
      <c r="I135" s="39" t="s">
        <v>1152</v>
      </c>
      <c r="J135" s="39" t="s">
        <v>1153</v>
      </c>
      <c r="K135" s="42" t="n">
        <v>2728</v>
      </c>
      <c r="L135" s="42" t="n">
        <v>4628</v>
      </c>
      <c r="M135" s="39" t="s">
        <v>208</v>
      </c>
      <c r="N135" s="39"/>
      <c r="O135" s="39"/>
      <c r="P135" s="39"/>
      <c r="Q135" s="39"/>
      <c r="R135" s="39"/>
      <c r="S135" s="39"/>
      <c r="T135" s="39"/>
      <c r="U135" s="39"/>
      <c r="V135" s="39"/>
      <c r="W135" s="39" t="s">
        <v>302</v>
      </c>
      <c r="X135" s="39"/>
      <c r="Y135" s="39"/>
      <c r="Z135" s="39" t="s">
        <v>251</v>
      </c>
      <c r="AA135" s="38" t="s">
        <v>217</v>
      </c>
      <c r="AB135" s="38" t="s">
        <v>217</v>
      </c>
      <c r="AC135" s="38" t="s">
        <v>217</v>
      </c>
      <c r="AD135" s="38" t="s">
        <v>217</v>
      </c>
      <c r="AE135" s="38" t="s">
        <v>217</v>
      </c>
      <c r="AF135" s="38" t="s">
        <v>217</v>
      </c>
      <c r="AG135" s="38" t="s">
        <v>217</v>
      </c>
      <c r="AH135" s="38" t="s">
        <v>217</v>
      </c>
      <c r="AI135" s="38" t="s">
        <v>217</v>
      </c>
    </row>
    <row r="136" customFormat="false" ht="57.75" hidden="false" customHeight="true" outlineLevel="0" collapsed="false">
      <c r="A136" s="32" t="n">
        <v>135</v>
      </c>
      <c r="B136" s="34" t="s">
        <v>199</v>
      </c>
      <c r="C136" s="32" t="s">
        <v>200</v>
      </c>
      <c r="D136" s="32" t="s">
        <v>201</v>
      </c>
      <c r="E136" s="31" t="s">
        <v>1154</v>
      </c>
      <c r="F136" s="32" t="s">
        <v>1155</v>
      </c>
      <c r="G136" s="32" t="s">
        <v>1137</v>
      </c>
      <c r="H136" s="32" t="s">
        <v>1156</v>
      </c>
      <c r="I136" s="32" t="s">
        <v>1157</v>
      </c>
      <c r="J136" s="32"/>
      <c r="K136" s="35"/>
      <c r="L136" s="35"/>
      <c r="M136" s="32" t="s">
        <v>217</v>
      </c>
      <c r="N136" s="32"/>
      <c r="O136" s="32"/>
      <c r="P136" s="32"/>
      <c r="Q136" s="32"/>
      <c r="R136" s="32"/>
      <c r="S136" s="36" t="s">
        <v>212</v>
      </c>
      <c r="T136" s="32"/>
      <c r="U136" s="36" t="s">
        <v>1158</v>
      </c>
      <c r="V136" s="32"/>
      <c r="W136" s="32"/>
      <c r="X136" s="32"/>
      <c r="Y136" s="32"/>
      <c r="Z136" s="32"/>
      <c r="AA136" s="38" t="s">
        <v>217</v>
      </c>
      <c r="AB136" s="38" t="s">
        <v>217</v>
      </c>
      <c r="AC136" s="38" t="s">
        <v>217</v>
      </c>
      <c r="AD136" s="38" t="s">
        <v>217</v>
      </c>
      <c r="AE136" s="38" t="s">
        <v>217</v>
      </c>
      <c r="AF136" s="37" t="s">
        <v>216</v>
      </c>
      <c r="AG136" s="38" t="s">
        <v>217</v>
      </c>
      <c r="AH136" s="37" t="s">
        <v>216</v>
      </c>
      <c r="AI136" s="38" t="s">
        <v>217</v>
      </c>
    </row>
    <row r="137" customFormat="false" ht="57.75" hidden="false" customHeight="true" outlineLevel="0" collapsed="false">
      <c r="A137" s="39" t="n">
        <v>136</v>
      </c>
      <c r="B137" s="40" t="s">
        <v>199</v>
      </c>
      <c r="C137" s="39" t="s">
        <v>200</v>
      </c>
      <c r="D137" s="39" t="s">
        <v>201</v>
      </c>
      <c r="E137" s="41" t="s">
        <v>1159</v>
      </c>
      <c r="F137" s="39" t="s">
        <v>1160</v>
      </c>
      <c r="G137" s="39" t="s">
        <v>1161</v>
      </c>
      <c r="H137" s="39" t="s">
        <v>642</v>
      </c>
      <c r="I137" s="39" t="s">
        <v>1162</v>
      </c>
      <c r="J137" s="39" t="s">
        <v>1163</v>
      </c>
      <c r="K137" s="42" t="n">
        <v>1804</v>
      </c>
      <c r="L137" s="42" t="n">
        <v>1903</v>
      </c>
      <c r="M137" s="39" t="s">
        <v>208</v>
      </c>
      <c r="N137" s="39"/>
      <c r="O137" s="39"/>
      <c r="P137" s="39"/>
      <c r="Q137" s="39"/>
      <c r="R137" s="39"/>
      <c r="S137" s="39"/>
      <c r="T137" s="36" t="s">
        <v>755</v>
      </c>
      <c r="U137" s="36" t="s">
        <v>1164</v>
      </c>
      <c r="V137" s="39"/>
      <c r="W137" s="39" t="s">
        <v>302</v>
      </c>
      <c r="X137" s="39"/>
      <c r="Y137" s="39"/>
      <c r="Z137" s="39" t="s">
        <v>1165</v>
      </c>
      <c r="AA137" s="38" t="s">
        <v>217</v>
      </c>
      <c r="AB137" s="38" t="s">
        <v>217</v>
      </c>
      <c r="AC137" s="38" t="s">
        <v>217</v>
      </c>
      <c r="AD137" s="38" t="s">
        <v>217</v>
      </c>
      <c r="AE137" s="38" t="s">
        <v>217</v>
      </c>
      <c r="AF137" s="38" t="s">
        <v>217</v>
      </c>
      <c r="AG137" s="37" t="s">
        <v>216</v>
      </c>
      <c r="AH137" s="37" t="s">
        <v>216</v>
      </c>
      <c r="AI137" s="38" t="s">
        <v>217</v>
      </c>
    </row>
    <row r="138" customFormat="false" ht="57.75" hidden="false" customHeight="true" outlineLevel="0" collapsed="false">
      <c r="A138" s="32" t="n">
        <v>137</v>
      </c>
      <c r="B138" s="34" t="s">
        <v>199</v>
      </c>
      <c r="C138" s="32" t="s">
        <v>200</v>
      </c>
      <c r="D138" s="32" t="s">
        <v>201</v>
      </c>
      <c r="E138" s="31" t="s">
        <v>1166</v>
      </c>
      <c r="F138" s="32" t="s">
        <v>1160</v>
      </c>
      <c r="G138" s="32" t="s">
        <v>1161</v>
      </c>
      <c r="H138" s="32" t="s">
        <v>642</v>
      </c>
      <c r="I138" s="32" t="s">
        <v>1167</v>
      </c>
      <c r="J138" s="32" t="s">
        <v>1168</v>
      </c>
      <c r="K138" s="35" t="n">
        <v>1804</v>
      </c>
      <c r="L138" s="35" t="n">
        <v>1999</v>
      </c>
      <c r="M138" s="32" t="s">
        <v>208</v>
      </c>
      <c r="N138" s="32"/>
      <c r="O138" s="32"/>
      <c r="P138" s="32"/>
      <c r="Q138" s="32"/>
      <c r="R138" s="32"/>
      <c r="S138" s="32"/>
      <c r="T138" s="36" t="s">
        <v>755</v>
      </c>
      <c r="U138" s="36" t="s">
        <v>1164</v>
      </c>
      <c r="V138" s="32"/>
      <c r="W138" s="32" t="s">
        <v>302</v>
      </c>
      <c r="X138" s="32"/>
      <c r="Y138" s="32"/>
      <c r="Z138" s="32" t="s">
        <v>1169</v>
      </c>
      <c r="AA138" s="38" t="s">
        <v>217</v>
      </c>
      <c r="AB138" s="38" t="s">
        <v>217</v>
      </c>
      <c r="AC138" s="38" t="s">
        <v>217</v>
      </c>
      <c r="AD138" s="38" t="s">
        <v>217</v>
      </c>
      <c r="AE138" s="38" t="s">
        <v>217</v>
      </c>
      <c r="AF138" s="38" t="s">
        <v>217</v>
      </c>
      <c r="AG138" s="37" t="s">
        <v>216</v>
      </c>
      <c r="AH138" s="37" t="s">
        <v>216</v>
      </c>
      <c r="AI138" s="38" t="s">
        <v>217</v>
      </c>
    </row>
    <row r="139" customFormat="false" ht="57.75" hidden="false" customHeight="true" outlineLevel="0" collapsed="false">
      <c r="A139" s="39" t="n">
        <v>138</v>
      </c>
      <c r="B139" s="40" t="s">
        <v>199</v>
      </c>
      <c r="C139" s="39" t="s">
        <v>200</v>
      </c>
      <c r="D139" s="39" t="s">
        <v>201</v>
      </c>
      <c r="E139" s="41" t="s">
        <v>1170</v>
      </c>
      <c r="F139" s="39" t="s">
        <v>1171</v>
      </c>
      <c r="G139" s="39" t="s">
        <v>1172</v>
      </c>
      <c r="H139" s="39" t="s">
        <v>1088</v>
      </c>
      <c r="I139" s="39" t="s">
        <v>1173</v>
      </c>
      <c r="J139" s="39"/>
      <c r="K139" s="42"/>
      <c r="L139" s="42"/>
      <c r="M139" s="39" t="s">
        <v>217</v>
      </c>
      <c r="N139" s="36" t="s">
        <v>106</v>
      </c>
      <c r="O139" s="39"/>
      <c r="P139" s="39"/>
      <c r="Q139" s="39"/>
      <c r="R139" s="39"/>
      <c r="S139" s="39"/>
      <c r="T139" s="36" t="s">
        <v>755</v>
      </c>
      <c r="U139" s="39"/>
      <c r="V139" s="39"/>
      <c r="W139" s="39"/>
      <c r="X139" s="39"/>
      <c r="Y139" s="39"/>
      <c r="Z139" s="39" t="s">
        <v>505</v>
      </c>
      <c r="AA139" s="37" t="s">
        <v>216</v>
      </c>
      <c r="AB139" s="38" t="s">
        <v>217</v>
      </c>
      <c r="AC139" s="38" t="s">
        <v>217</v>
      </c>
      <c r="AD139" s="38" t="s">
        <v>217</v>
      </c>
      <c r="AE139" s="38" t="s">
        <v>217</v>
      </c>
      <c r="AF139" s="38" t="s">
        <v>217</v>
      </c>
      <c r="AG139" s="37" t="s">
        <v>216</v>
      </c>
      <c r="AH139" s="38" t="s">
        <v>217</v>
      </c>
      <c r="AI139" s="38" t="s">
        <v>217</v>
      </c>
    </row>
    <row r="140" customFormat="false" ht="57.75" hidden="false" customHeight="true" outlineLevel="0" collapsed="false">
      <c r="A140" s="32" t="n">
        <v>139</v>
      </c>
      <c r="B140" s="34" t="s">
        <v>199</v>
      </c>
      <c r="C140" s="32" t="s">
        <v>200</v>
      </c>
      <c r="D140" s="32" t="s">
        <v>201</v>
      </c>
      <c r="E140" s="31" t="s">
        <v>1174</v>
      </c>
      <c r="F140" s="32" t="s">
        <v>253</v>
      </c>
      <c r="G140" s="32" t="s">
        <v>1175</v>
      </c>
      <c r="H140" s="32" t="s">
        <v>642</v>
      </c>
      <c r="I140" s="32" t="s">
        <v>1176</v>
      </c>
      <c r="J140" s="32"/>
      <c r="K140" s="35"/>
      <c r="L140" s="35"/>
      <c r="M140" s="32" t="s">
        <v>208</v>
      </c>
      <c r="N140" s="32"/>
      <c r="O140" s="32"/>
      <c r="P140" s="32"/>
      <c r="Q140" s="32"/>
      <c r="R140" s="32"/>
      <c r="S140" s="36" t="s">
        <v>212</v>
      </c>
      <c r="T140" s="32"/>
      <c r="U140" s="32"/>
      <c r="V140" s="32"/>
      <c r="W140" s="32" t="s">
        <v>656</v>
      </c>
      <c r="X140" s="32" t="s">
        <v>1177</v>
      </c>
      <c r="Y140" s="32"/>
      <c r="Z140" s="32" t="s">
        <v>791</v>
      </c>
      <c r="AA140" s="38" t="s">
        <v>217</v>
      </c>
      <c r="AB140" s="38" t="s">
        <v>217</v>
      </c>
      <c r="AC140" s="38" t="s">
        <v>217</v>
      </c>
      <c r="AD140" s="38" t="s">
        <v>217</v>
      </c>
      <c r="AE140" s="38" t="s">
        <v>217</v>
      </c>
      <c r="AF140" s="37" t="s">
        <v>216</v>
      </c>
      <c r="AG140" s="38" t="s">
        <v>217</v>
      </c>
      <c r="AH140" s="38" t="s">
        <v>217</v>
      </c>
      <c r="AI140" s="38" t="s">
        <v>217</v>
      </c>
    </row>
    <row r="141" customFormat="false" ht="57.75" hidden="false" customHeight="true" outlineLevel="0" collapsed="false">
      <c r="A141" s="39" t="n">
        <v>140</v>
      </c>
      <c r="B141" s="40" t="s">
        <v>199</v>
      </c>
      <c r="C141" s="39" t="s">
        <v>200</v>
      </c>
      <c r="D141" s="39" t="s">
        <v>201</v>
      </c>
      <c r="E141" s="41" t="s">
        <v>1178</v>
      </c>
      <c r="F141" s="39" t="s">
        <v>1179</v>
      </c>
      <c r="G141" s="39" t="s">
        <v>1011</v>
      </c>
      <c r="H141" s="39" t="s">
        <v>642</v>
      </c>
      <c r="I141" s="39" t="s">
        <v>1180</v>
      </c>
      <c r="J141" s="39"/>
      <c r="K141" s="42"/>
      <c r="L141" s="42"/>
      <c r="M141" s="39" t="s">
        <v>208</v>
      </c>
      <c r="N141" s="36" t="s">
        <v>106</v>
      </c>
      <c r="O141" s="39"/>
      <c r="P141" s="39"/>
      <c r="Q141" s="39"/>
      <c r="R141" s="39"/>
      <c r="S141" s="36" t="s">
        <v>322</v>
      </c>
      <c r="T141" s="36" t="s">
        <v>755</v>
      </c>
      <c r="U141" s="36" t="s">
        <v>1181</v>
      </c>
      <c r="V141" s="39"/>
      <c r="W141" s="39" t="s">
        <v>1182</v>
      </c>
      <c r="X141" s="39"/>
      <c r="Y141" s="39"/>
      <c r="Z141" s="39" t="s">
        <v>266</v>
      </c>
      <c r="AA141" s="37" t="s">
        <v>216</v>
      </c>
      <c r="AB141" s="38" t="s">
        <v>217</v>
      </c>
      <c r="AC141" s="38" t="s">
        <v>217</v>
      </c>
      <c r="AD141" s="38" t="s">
        <v>217</v>
      </c>
      <c r="AE141" s="38" t="s">
        <v>217</v>
      </c>
      <c r="AF141" s="37" t="s">
        <v>216</v>
      </c>
      <c r="AG141" s="37" t="s">
        <v>216</v>
      </c>
      <c r="AH141" s="37" t="s">
        <v>216</v>
      </c>
      <c r="AI141" s="38" t="s">
        <v>217</v>
      </c>
    </row>
    <row r="142" customFormat="false" ht="57.75" hidden="false" customHeight="true" outlineLevel="0" collapsed="false">
      <c r="A142" s="32" t="n">
        <v>141</v>
      </c>
      <c r="B142" s="34" t="s">
        <v>199</v>
      </c>
      <c r="C142" s="32" t="s">
        <v>200</v>
      </c>
      <c r="D142" s="32" t="s">
        <v>201</v>
      </c>
      <c r="E142" s="31" t="s">
        <v>1183</v>
      </c>
      <c r="F142" s="32" t="s">
        <v>357</v>
      </c>
      <c r="G142" s="32" t="s">
        <v>1011</v>
      </c>
      <c r="H142" s="32" t="s">
        <v>1088</v>
      </c>
      <c r="I142" s="32" t="s">
        <v>966</v>
      </c>
      <c r="J142" s="32" t="s">
        <v>1184</v>
      </c>
      <c r="K142" s="35" t="n">
        <v>2599</v>
      </c>
      <c r="L142" s="35" t="n">
        <v>2599</v>
      </c>
      <c r="M142" s="32" t="s">
        <v>217</v>
      </c>
      <c r="N142" s="32"/>
      <c r="O142" s="32"/>
      <c r="P142" s="32"/>
      <c r="Q142" s="36" t="s">
        <v>1185</v>
      </c>
      <c r="R142" s="32"/>
      <c r="S142" s="32"/>
      <c r="T142" s="36" t="s">
        <v>755</v>
      </c>
      <c r="U142" s="36" t="s">
        <v>1045</v>
      </c>
      <c r="V142" s="32"/>
      <c r="W142" s="32" t="s">
        <v>302</v>
      </c>
      <c r="X142" s="32"/>
      <c r="Y142" s="32"/>
      <c r="Z142" s="32" t="s">
        <v>669</v>
      </c>
      <c r="AA142" s="38" t="s">
        <v>217</v>
      </c>
      <c r="AB142" s="38" t="s">
        <v>217</v>
      </c>
      <c r="AC142" s="38" t="s">
        <v>217</v>
      </c>
      <c r="AD142" s="37" t="s">
        <v>216</v>
      </c>
      <c r="AE142" s="38" t="s">
        <v>217</v>
      </c>
      <c r="AF142" s="38" t="s">
        <v>217</v>
      </c>
      <c r="AG142" s="37" t="s">
        <v>216</v>
      </c>
      <c r="AH142" s="37" t="s">
        <v>216</v>
      </c>
      <c r="AI142" s="38" t="s">
        <v>217</v>
      </c>
    </row>
    <row r="143" customFormat="false" ht="57.75" hidden="false" customHeight="true" outlineLevel="0" collapsed="false">
      <c r="A143" s="39" t="n">
        <v>142</v>
      </c>
      <c r="B143" s="40" t="s">
        <v>199</v>
      </c>
      <c r="C143" s="39" t="s">
        <v>200</v>
      </c>
      <c r="D143" s="39" t="s">
        <v>201</v>
      </c>
      <c r="E143" s="41" t="s">
        <v>1186</v>
      </c>
      <c r="F143" s="39" t="s">
        <v>1187</v>
      </c>
      <c r="G143" s="39" t="s">
        <v>1011</v>
      </c>
      <c r="H143" s="39" t="s">
        <v>349</v>
      </c>
      <c r="I143" s="39" t="s">
        <v>966</v>
      </c>
      <c r="J143" s="39"/>
      <c r="K143" s="42"/>
      <c r="L143" s="42"/>
      <c r="M143" s="39" t="s">
        <v>217</v>
      </c>
      <c r="N143" s="36" t="s">
        <v>106</v>
      </c>
      <c r="O143" s="39"/>
      <c r="P143" s="39"/>
      <c r="Q143" s="36" t="s">
        <v>1188</v>
      </c>
      <c r="R143" s="39"/>
      <c r="S143" s="36" t="s">
        <v>322</v>
      </c>
      <c r="T143" s="39"/>
      <c r="U143" s="39"/>
      <c r="V143" s="39"/>
      <c r="W143" s="39" t="s">
        <v>656</v>
      </c>
      <c r="X143" s="39"/>
      <c r="Y143" s="39"/>
      <c r="Z143" s="39" t="s">
        <v>791</v>
      </c>
      <c r="AA143" s="37" t="s">
        <v>216</v>
      </c>
      <c r="AB143" s="38" t="s">
        <v>217</v>
      </c>
      <c r="AC143" s="38" t="s">
        <v>217</v>
      </c>
      <c r="AD143" s="37" t="s">
        <v>216</v>
      </c>
      <c r="AE143" s="38" t="s">
        <v>217</v>
      </c>
      <c r="AF143" s="37" t="s">
        <v>216</v>
      </c>
      <c r="AG143" s="38" t="s">
        <v>217</v>
      </c>
      <c r="AH143" s="38" t="s">
        <v>217</v>
      </c>
      <c r="AI143" s="38" t="s">
        <v>217</v>
      </c>
    </row>
    <row r="144" customFormat="false" ht="57.75" hidden="false" customHeight="true" outlineLevel="0" collapsed="false">
      <c r="A144" s="32" t="n">
        <v>143</v>
      </c>
      <c r="B144" s="34" t="s">
        <v>199</v>
      </c>
      <c r="C144" s="32" t="s">
        <v>200</v>
      </c>
      <c r="D144" s="32" t="s">
        <v>201</v>
      </c>
      <c r="E144" s="31" t="s">
        <v>1189</v>
      </c>
      <c r="F144" s="32" t="s">
        <v>1190</v>
      </c>
      <c r="G144" s="32" t="s">
        <v>1191</v>
      </c>
      <c r="H144" s="32" t="s">
        <v>349</v>
      </c>
      <c r="I144" s="32" t="s">
        <v>1192</v>
      </c>
      <c r="J144" s="32"/>
      <c r="K144" s="35"/>
      <c r="L144" s="35"/>
      <c r="M144" s="32" t="s">
        <v>217</v>
      </c>
      <c r="N144" s="32"/>
      <c r="O144" s="32"/>
      <c r="P144" s="32"/>
      <c r="Q144" s="32"/>
      <c r="R144" s="32"/>
      <c r="S144" s="36" t="s">
        <v>212</v>
      </c>
      <c r="T144" s="36" t="s">
        <v>755</v>
      </c>
      <c r="U144" s="36" t="s">
        <v>1193</v>
      </c>
      <c r="V144" s="32"/>
      <c r="W144" s="32" t="s">
        <v>1194</v>
      </c>
      <c r="X144" s="32"/>
      <c r="Y144" s="32"/>
      <c r="Z144" s="32" t="s">
        <v>490</v>
      </c>
      <c r="AA144" s="38" t="s">
        <v>217</v>
      </c>
      <c r="AB144" s="38" t="s">
        <v>217</v>
      </c>
      <c r="AC144" s="38" t="s">
        <v>217</v>
      </c>
      <c r="AD144" s="38" t="s">
        <v>217</v>
      </c>
      <c r="AE144" s="38" t="s">
        <v>217</v>
      </c>
      <c r="AF144" s="37" t="s">
        <v>216</v>
      </c>
      <c r="AG144" s="37" t="s">
        <v>216</v>
      </c>
      <c r="AH144" s="37" t="s">
        <v>216</v>
      </c>
      <c r="AI144" s="38" t="s">
        <v>217</v>
      </c>
    </row>
    <row r="145" customFormat="false" ht="57.75" hidden="false" customHeight="true" outlineLevel="0" collapsed="false">
      <c r="A145" s="39" t="n">
        <v>144</v>
      </c>
      <c r="B145" s="40" t="s">
        <v>199</v>
      </c>
      <c r="C145" s="39" t="s">
        <v>200</v>
      </c>
      <c r="D145" s="39" t="s">
        <v>201</v>
      </c>
      <c r="E145" s="41" t="s">
        <v>1195</v>
      </c>
      <c r="F145" s="39" t="s">
        <v>1196</v>
      </c>
      <c r="G145" s="39" t="s">
        <v>1197</v>
      </c>
      <c r="H145" s="39" t="s">
        <v>349</v>
      </c>
      <c r="I145" s="39" t="s">
        <v>1198</v>
      </c>
      <c r="J145" s="39"/>
      <c r="K145" s="42"/>
      <c r="L145" s="42"/>
      <c r="M145" s="39" t="s">
        <v>217</v>
      </c>
      <c r="N145" s="39"/>
      <c r="O145" s="39"/>
      <c r="P145" s="39"/>
      <c r="Q145" s="39"/>
      <c r="R145" s="39"/>
      <c r="S145" s="39"/>
      <c r="T145" s="36" t="s">
        <v>755</v>
      </c>
      <c r="U145" s="39"/>
      <c r="V145" s="39"/>
      <c r="W145" s="39" t="s">
        <v>1199</v>
      </c>
      <c r="X145" s="39"/>
      <c r="Y145" s="39"/>
      <c r="Z145" s="39" t="s">
        <v>1200</v>
      </c>
      <c r="AA145" s="38" t="s">
        <v>217</v>
      </c>
      <c r="AB145" s="38" t="s">
        <v>217</v>
      </c>
      <c r="AC145" s="38" t="s">
        <v>217</v>
      </c>
      <c r="AD145" s="38" t="s">
        <v>217</v>
      </c>
      <c r="AE145" s="38" t="s">
        <v>217</v>
      </c>
      <c r="AF145" s="38" t="s">
        <v>217</v>
      </c>
      <c r="AG145" s="37" t="s">
        <v>216</v>
      </c>
      <c r="AH145" s="38" t="s">
        <v>217</v>
      </c>
      <c r="AI145" s="38" t="s">
        <v>217</v>
      </c>
    </row>
    <row r="146" customFormat="false" ht="57.75" hidden="false" customHeight="true" outlineLevel="0" collapsed="false">
      <c r="A146" s="32" t="n">
        <v>145</v>
      </c>
      <c r="B146" s="34" t="s">
        <v>199</v>
      </c>
      <c r="C146" s="32" t="s">
        <v>200</v>
      </c>
      <c r="D146" s="32" t="s">
        <v>201</v>
      </c>
      <c r="E146" s="31" t="s">
        <v>1201</v>
      </c>
      <c r="F146" s="32" t="s">
        <v>1202</v>
      </c>
      <c r="G146" s="32" t="s">
        <v>1203</v>
      </c>
      <c r="H146" s="32" t="s">
        <v>349</v>
      </c>
      <c r="I146" s="32" t="s">
        <v>1204</v>
      </c>
      <c r="J146" s="32"/>
      <c r="K146" s="35"/>
      <c r="L146" s="35"/>
      <c r="M146" s="32" t="s">
        <v>217</v>
      </c>
      <c r="N146" s="32"/>
      <c r="O146" s="32"/>
      <c r="P146" s="32"/>
      <c r="Q146" s="32"/>
      <c r="R146" s="32"/>
      <c r="S146" s="32"/>
      <c r="T146" s="32"/>
      <c r="U146" s="32"/>
      <c r="V146" s="32"/>
      <c r="W146" s="32" t="s">
        <v>1205</v>
      </c>
      <c r="X146" s="32"/>
      <c r="Y146" s="32"/>
      <c r="Z146" s="32" t="s">
        <v>1206</v>
      </c>
      <c r="AA146" s="38" t="s">
        <v>217</v>
      </c>
      <c r="AB146" s="38" t="s">
        <v>217</v>
      </c>
      <c r="AC146" s="38" t="s">
        <v>217</v>
      </c>
      <c r="AD146" s="38" t="s">
        <v>217</v>
      </c>
      <c r="AE146" s="38" t="s">
        <v>217</v>
      </c>
      <c r="AF146" s="38" t="s">
        <v>217</v>
      </c>
      <c r="AG146" s="38" t="s">
        <v>217</v>
      </c>
      <c r="AH146" s="38" t="s">
        <v>217</v>
      </c>
      <c r="AI146" s="38" t="s">
        <v>217</v>
      </c>
    </row>
    <row r="147" customFormat="false" ht="57.75" hidden="false" customHeight="true" outlineLevel="0" collapsed="false">
      <c r="A147" s="39" t="n">
        <v>146</v>
      </c>
      <c r="B147" s="40" t="s">
        <v>199</v>
      </c>
      <c r="C147" s="39" t="s">
        <v>200</v>
      </c>
      <c r="D147" s="39" t="s">
        <v>201</v>
      </c>
      <c r="E147" s="41" t="s">
        <v>1207</v>
      </c>
      <c r="F147" s="39" t="s">
        <v>1208</v>
      </c>
      <c r="G147" s="39" t="s">
        <v>1209</v>
      </c>
      <c r="H147" s="39" t="s">
        <v>642</v>
      </c>
      <c r="I147" s="39" t="s">
        <v>1210</v>
      </c>
      <c r="J147" s="39" t="s">
        <v>1211</v>
      </c>
      <c r="K147" s="42" t="n">
        <v>3030</v>
      </c>
      <c r="L147" s="42" t="n">
        <v>6368</v>
      </c>
      <c r="M147" s="39" t="s">
        <v>208</v>
      </c>
      <c r="N147" s="39"/>
      <c r="O147" s="39"/>
      <c r="P147" s="39"/>
      <c r="Q147" s="39"/>
      <c r="R147" s="39"/>
      <c r="S147" s="39"/>
      <c r="T147" s="39"/>
      <c r="U147" s="39"/>
      <c r="V147" s="39"/>
      <c r="W147" s="39" t="s">
        <v>656</v>
      </c>
      <c r="X147" s="39"/>
      <c r="Y147" s="39"/>
      <c r="Z147" s="39" t="s">
        <v>886</v>
      </c>
      <c r="AA147" s="38" t="s">
        <v>217</v>
      </c>
      <c r="AB147" s="38" t="s">
        <v>217</v>
      </c>
      <c r="AC147" s="38" t="s">
        <v>217</v>
      </c>
      <c r="AD147" s="38" t="s">
        <v>217</v>
      </c>
      <c r="AE147" s="38" t="s">
        <v>217</v>
      </c>
      <c r="AF147" s="38" t="s">
        <v>217</v>
      </c>
      <c r="AG147" s="38" t="s">
        <v>217</v>
      </c>
      <c r="AH147" s="38" t="s">
        <v>217</v>
      </c>
      <c r="AI147" s="38" t="s">
        <v>217</v>
      </c>
    </row>
    <row r="148" customFormat="false" ht="57.75" hidden="false" customHeight="true" outlineLevel="0" collapsed="false">
      <c r="A148" s="32" t="n">
        <v>147</v>
      </c>
      <c r="B148" s="34" t="s">
        <v>199</v>
      </c>
      <c r="C148" s="32" t="s">
        <v>200</v>
      </c>
      <c r="D148" s="32" t="s">
        <v>201</v>
      </c>
      <c r="E148" s="31" t="s">
        <v>1212</v>
      </c>
      <c r="F148" s="32" t="s">
        <v>1213</v>
      </c>
      <c r="G148" s="32" t="s">
        <v>1214</v>
      </c>
      <c r="H148" s="32" t="s">
        <v>349</v>
      </c>
      <c r="I148" s="32" t="s">
        <v>1215</v>
      </c>
      <c r="J148" s="32"/>
      <c r="K148" s="35"/>
      <c r="L148" s="35"/>
      <c r="M148" s="32" t="s">
        <v>217</v>
      </c>
      <c r="N148" s="32"/>
      <c r="O148" s="32"/>
      <c r="P148" s="32"/>
      <c r="Q148" s="32"/>
      <c r="R148" s="32"/>
      <c r="S148" s="32"/>
      <c r="T148" s="32"/>
      <c r="U148" s="32"/>
      <c r="V148" s="32"/>
      <c r="W148" s="32" t="s">
        <v>656</v>
      </c>
      <c r="X148" s="32"/>
      <c r="Y148" s="32"/>
      <c r="Z148" s="32" t="s">
        <v>291</v>
      </c>
      <c r="AA148" s="38" t="s">
        <v>217</v>
      </c>
      <c r="AB148" s="38" t="s">
        <v>217</v>
      </c>
      <c r="AC148" s="38" t="s">
        <v>217</v>
      </c>
      <c r="AD148" s="38" t="s">
        <v>217</v>
      </c>
      <c r="AE148" s="38" t="s">
        <v>217</v>
      </c>
      <c r="AF148" s="38" t="s">
        <v>217</v>
      </c>
      <c r="AG148" s="38" t="s">
        <v>217</v>
      </c>
      <c r="AH148" s="38" t="s">
        <v>217</v>
      </c>
      <c r="AI148" s="38" t="s">
        <v>217</v>
      </c>
    </row>
    <row r="149" customFormat="false" ht="57.75" hidden="false" customHeight="true" outlineLevel="0" collapsed="false">
      <c r="A149" s="39" t="n">
        <v>148</v>
      </c>
      <c r="B149" s="40" t="s">
        <v>199</v>
      </c>
      <c r="C149" s="39" t="s">
        <v>200</v>
      </c>
      <c r="D149" s="39" t="s">
        <v>201</v>
      </c>
      <c r="E149" s="41" t="s">
        <v>1216</v>
      </c>
      <c r="F149" s="39" t="s">
        <v>1217</v>
      </c>
      <c r="G149" s="39" t="s">
        <v>1214</v>
      </c>
      <c r="H149" s="39" t="s">
        <v>205</v>
      </c>
      <c r="I149" s="39" t="s">
        <v>693</v>
      </c>
      <c r="J149" s="39"/>
      <c r="K149" s="42"/>
      <c r="L149" s="42"/>
      <c r="M149" s="39" t="s">
        <v>222</v>
      </c>
      <c r="N149" s="39"/>
      <c r="O149" s="39"/>
      <c r="P149" s="39"/>
      <c r="Q149" s="39"/>
      <c r="R149" s="39"/>
      <c r="S149" s="39"/>
      <c r="T149" s="39"/>
      <c r="U149" s="39"/>
      <c r="V149" s="39"/>
      <c r="W149" s="39" t="s">
        <v>1218</v>
      </c>
      <c r="X149" s="39"/>
      <c r="Y149" s="39"/>
      <c r="Z149" s="39" t="s">
        <v>717</v>
      </c>
      <c r="AA149" s="38" t="s">
        <v>217</v>
      </c>
      <c r="AB149" s="38" t="s">
        <v>217</v>
      </c>
      <c r="AC149" s="38" t="s">
        <v>217</v>
      </c>
      <c r="AD149" s="38" t="s">
        <v>217</v>
      </c>
      <c r="AE149" s="38" t="s">
        <v>217</v>
      </c>
      <c r="AF149" s="38" t="s">
        <v>217</v>
      </c>
      <c r="AG149" s="38" t="s">
        <v>217</v>
      </c>
      <c r="AH149" s="38" t="s">
        <v>217</v>
      </c>
      <c r="AI149" s="38" t="s">
        <v>217</v>
      </c>
    </row>
    <row r="150" customFormat="false" ht="57.75" hidden="false" customHeight="true" outlineLevel="0" collapsed="false">
      <c r="A150" s="32" t="n">
        <v>149</v>
      </c>
      <c r="B150" s="34" t="s">
        <v>199</v>
      </c>
      <c r="C150" s="32" t="s">
        <v>200</v>
      </c>
      <c r="D150" s="32" t="s">
        <v>201</v>
      </c>
      <c r="E150" s="31" t="s">
        <v>1219</v>
      </c>
      <c r="F150" s="32" t="s">
        <v>1220</v>
      </c>
      <c r="G150" s="32" t="s">
        <v>1209</v>
      </c>
      <c r="H150" s="32" t="s">
        <v>385</v>
      </c>
      <c r="I150" s="32" t="s">
        <v>1221</v>
      </c>
      <c r="J150" s="32" t="s">
        <v>1222</v>
      </c>
      <c r="K150" s="35" t="n">
        <v>3465</v>
      </c>
      <c r="L150" s="35" t="n">
        <v>3635</v>
      </c>
      <c r="M150" s="32" t="s">
        <v>217</v>
      </c>
      <c r="N150" s="36" t="s">
        <v>106</v>
      </c>
      <c r="O150" s="32"/>
      <c r="P150" s="32"/>
      <c r="Q150" s="32"/>
      <c r="R150" s="32"/>
      <c r="S150" s="36" t="s">
        <v>212</v>
      </c>
      <c r="T150" s="32"/>
      <c r="U150" s="32"/>
      <c r="V150" s="32"/>
      <c r="W150" s="32" t="s">
        <v>1223</v>
      </c>
      <c r="X150" s="32"/>
      <c r="Y150" s="32"/>
      <c r="Z150" s="32" t="s">
        <v>791</v>
      </c>
      <c r="AA150" s="37" t="s">
        <v>216</v>
      </c>
      <c r="AB150" s="38" t="s">
        <v>217</v>
      </c>
      <c r="AC150" s="38" t="s">
        <v>217</v>
      </c>
      <c r="AD150" s="38" t="s">
        <v>217</v>
      </c>
      <c r="AE150" s="38" t="s">
        <v>217</v>
      </c>
      <c r="AF150" s="37" t="s">
        <v>216</v>
      </c>
      <c r="AG150" s="38" t="s">
        <v>217</v>
      </c>
      <c r="AH150" s="38" t="s">
        <v>217</v>
      </c>
      <c r="AI150" s="38" t="s">
        <v>217</v>
      </c>
    </row>
    <row r="151" customFormat="false" ht="57.75" hidden="false" customHeight="true" outlineLevel="0" collapsed="false">
      <c r="A151" s="39" t="n">
        <v>150</v>
      </c>
      <c r="B151" s="40" t="s">
        <v>199</v>
      </c>
      <c r="C151" s="39" t="s">
        <v>200</v>
      </c>
      <c r="D151" s="39" t="s">
        <v>201</v>
      </c>
      <c r="E151" s="41" t="s">
        <v>1224</v>
      </c>
      <c r="F151" s="39" t="s">
        <v>1225</v>
      </c>
      <c r="G151" s="39" t="s">
        <v>1209</v>
      </c>
      <c r="H151" s="39" t="s">
        <v>642</v>
      </c>
      <c r="I151" s="39" t="s">
        <v>1226</v>
      </c>
      <c r="J151" s="39" t="s">
        <v>1227</v>
      </c>
      <c r="K151" s="42"/>
      <c r="L151" s="42"/>
      <c r="M151" s="39" t="s">
        <v>208</v>
      </c>
      <c r="N151" s="36" t="s">
        <v>106</v>
      </c>
      <c r="O151" s="39"/>
      <c r="P151" s="36" t="s">
        <v>1228</v>
      </c>
      <c r="Q151" s="36" t="s">
        <v>517</v>
      </c>
      <c r="R151" s="39"/>
      <c r="S151" s="36" t="s">
        <v>212</v>
      </c>
      <c r="T151" s="39"/>
      <c r="U151" s="36" t="s">
        <v>213</v>
      </c>
      <c r="V151" s="39"/>
      <c r="W151" s="39" t="s">
        <v>769</v>
      </c>
      <c r="X151" s="39"/>
      <c r="Y151" s="39"/>
      <c r="Z151" s="39" t="s">
        <v>251</v>
      </c>
      <c r="AA151" s="37" t="s">
        <v>216</v>
      </c>
      <c r="AB151" s="38" t="s">
        <v>217</v>
      </c>
      <c r="AC151" s="37" t="s">
        <v>216</v>
      </c>
      <c r="AD151" s="37" t="s">
        <v>216</v>
      </c>
      <c r="AE151" s="38" t="s">
        <v>217</v>
      </c>
      <c r="AF151" s="37" t="s">
        <v>216</v>
      </c>
      <c r="AG151" s="38" t="s">
        <v>217</v>
      </c>
      <c r="AH151" s="37" t="s">
        <v>216</v>
      </c>
      <c r="AI151" s="38" t="s">
        <v>217</v>
      </c>
    </row>
    <row r="152" customFormat="false" ht="57.75" hidden="false" customHeight="true" outlineLevel="0" collapsed="false">
      <c r="A152" s="32" t="n">
        <v>151</v>
      </c>
      <c r="B152" s="34" t="s">
        <v>199</v>
      </c>
      <c r="C152" s="32" t="s">
        <v>200</v>
      </c>
      <c r="D152" s="32" t="s">
        <v>201</v>
      </c>
      <c r="E152" s="31" t="s">
        <v>1229</v>
      </c>
      <c r="F152" s="32" t="s">
        <v>1230</v>
      </c>
      <c r="G152" s="32" t="s">
        <v>1209</v>
      </c>
      <c r="H152" s="32" t="s">
        <v>939</v>
      </c>
      <c r="I152" s="32" t="s">
        <v>1231</v>
      </c>
      <c r="J152" s="32" t="s">
        <v>1232</v>
      </c>
      <c r="K152" s="35" t="n">
        <v>4905</v>
      </c>
      <c r="L152" s="35" t="n">
        <v>6025</v>
      </c>
      <c r="M152" s="32" t="s">
        <v>208</v>
      </c>
      <c r="N152" s="36" t="s">
        <v>106</v>
      </c>
      <c r="O152" s="32"/>
      <c r="P152" s="43" t="s">
        <v>1233</v>
      </c>
      <c r="Q152" s="36" t="s">
        <v>877</v>
      </c>
      <c r="R152" s="32"/>
      <c r="S152" s="36" t="s">
        <v>1234</v>
      </c>
      <c r="T152" s="36" t="s">
        <v>755</v>
      </c>
      <c r="U152" s="36" t="s">
        <v>1045</v>
      </c>
      <c r="V152" s="32"/>
      <c r="W152" s="32" t="s">
        <v>1235</v>
      </c>
      <c r="X152" s="32"/>
      <c r="Y152" s="32"/>
      <c r="Z152" s="32" t="s">
        <v>979</v>
      </c>
      <c r="AA152" s="37" t="s">
        <v>216</v>
      </c>
      <c r="AB152" s="38" t="s">
        <v>217</v>
      </c>
      <c r="AC152" s="44" t="s">
        <v>335</v>
      </c>
      <c r="AD152" s="37" t="s">
        <v>216</v>
      </c>
      <c r="AE152" s="38" t="s">
        <v>217</v>
      </c>
      <c r="AF152" s="37" t="s">
        <v>216</v>
      </c>
      <c r="AG152" s="37" t="s">
        <v>216</v>
      </c>
      <c r="AH152" s="37" t="s">
        <v>216</v>
      </c>
      <c r="AI152" s="38" t="s">
        <v>217</v>
      </c>
    </row>
    <row r="153" customFormat="false" ht="57.75" hidden="false" customHeight="true" outlineLevel="0" collapsed="false">
      <c r="A153" s="39" t="n">
        <v>152</v>
      </c>
      <c r="B153" s="40" t="s">
        <v>199</v>
      </c>
      <c r="C153" s="39" t="s">
        <v>200</v>
      </c>
      <c r="D153" s="39" t="s">
        <v>201</v>
      </c>
      <c r="E153" s="41" t="s">
        <v>1236</v>
      </c>
      <c r="F153" s="39" t="s">
        <v>1237</v>
      </c>
      <c r="G153" s="39" t="s">
        <v>1209</v>
      </c>
      <c r="H153" s="39" t="s">
        <v>642</v>
      </c>
      <c r="I153" s="39" t="s">
        <v>1238</v>
      </c>
      <c r="J153" s="39"/>
      <c r="K153" s="42"/>
      <c r="L153" s="42"/>
      <c r="M153" s="39" t="s">
        <v>208</v>
      </c>
      <c r="N153" s="39"/>
      <c r="O153" s="39"/>
      <c r="P153" s="39"/>
      <c r="Q153" s="39"/>
      <c r="R153" s="39"/>
      <c r="S153" s="43" t="s">
        <v>1239</v>
      </c>
      <c r="T153" s="39"/>
      <c r="U153" s="39"/>
      <c r="V153" s="39"/>
      <c r="W153" s="39" t="s">
        <v>734</v>
      </c>
      <c r="X153" s="39"/>
      <c r="Y153" s="39"/>
      <c r="Z153" s="39" t="s">
        <v>505</v>
      </c>
      <c r="AA153" s="38" t="s">
        <v>217</v>
      </c>
      <c r="AB153" s="38" t="s">
        <v>217</v>
      </c>
      <c r="AC153" s="38" t="s">
        <v>217</v>
      </c>
      <c r="AD153" s="38" t="s">
        <v>217</v>
      </c>
      <c r="AE153" s="38" t="s">
        <v>217</v>
      </c>
      <c r="AF153" s="44" t="s">
        <v>335</v>
      </c>
      <c r="AG153" s="38" t="s">
        <v>217</v>
      </c>
      <c r="AH153" s="38" t="s">
        <v>217</v>
      </c>
      <c r="AI153" s="38" t="s">
        <v>217</v>
      </c>
    </row>
    <row r="154" customFormat="false" ht="57.75" hidden="false" customHeight="true" outlineLevel="0" collapsed="false">
      <c r="A154" s="32" t="n">
        <v>153</v>
      </c>
      <c r="B154" s="34" t="s">
        <v>199</v>
      </c>
      <c r="C154" s="32" t="s">
        <v>200</v>
      </c>
      <c r="D154" s="32" t="s">
        <v>201</v>
      </c>
      <c r="E154" s="31" t="s">
        <v>1240</v>
      </c>
      <c r="F154" s="32" t="s">
        <v>1241</v>
      </c>
      <c r="G154" s="32" t="s">
        <v>1209</v>
      </c>
      <c r="H154" s="32" t="s">
        <v>205</v>
      </c>
      <c r="I154" s="32" t="s">
        <v>780</v>
      </c>
      <c r="J154" s="32"/>
      <c r="K154" s="35"/>
      <c r="L154" s="35"/>
      <c r="M154" s="32" t="s">
        <v>222</v>
      </c>
      <c r="N154" s="32"/>
      <c r="O154" s="32"/>
      <c r="P154" s="32"/>
      <c r="Q154" s="32"/>
      <c r="R154" s="32"/>
      <c r="S154" s="32"/>
      <c r="T154" s="32"/>
      <c r="U154" s="32"/>
      <c r="V154" s="32"/>
      <c r="W154" s="32" t="s">
        <v>302</v>
      </c>
      <c r="X154" s="32"/>
      <c r="Y154" s="32"/>
      <c r="Z154" s="32" t="s">
        <v>1028</v>
      </c>
      <c r="AA154" s="38" t="s">
        <v>217</v>
      </c>
      <c r="AB154" s="38" t="s">
        <v>217</v>
      </c>
      <c r="AC154" s="38" t="s">
        <v>217</v>
      </c>
      <c r="AD154" s="38" t="s">
        <v>217</v>
      </c>
      <c r="AE154" s="38" t="s">
        <v>217</v>
      </c>
      <c r="AF154" s="38" t="s">
        <v>217</v>
      </c>
      <c r="AG154" s="38" t="s">
        <v>217</v>
      </c>
      <c r="AH154" s="38" t="s">
        <v>217</v>
      </c>
      <c r="AI154" s="38" t="s">
        <v>217</v>
      </c>
    </row>
    <row r="155" customFormat="false" ht="57.75" hidden="false" customHeight="true" outlineLevel="0" collapsed="false">
      <c r="A155" s="39" t="n">
        <v>154</v>
      </c>
      <c r="B155" s="40" t="s">
        <v>199</v>
      </c>
      <c r="C155" s="39" t="s">
        <v>200</v>
      </c>
      <c r="D155" s="39" t="s">
        <v>201</v>
      </c>
      <c r="E155" s="41" t="s">
        <v>1242</v>
      </c>
      <c r="F155" s="39" t="s">
        <v>1243</v>
      </c>
      <c r="G155" s="39" t="s">
        <v>1214</v>
      </c>
      <c r="H155" s="39" t="s">
        <v>385</v>
      </c>
      <c r="I155" s="39" t="s">
        <v>1244</v>
      </c>
      <c r="J155" s="39" t="s">
        <v>1245</v>
      </c>
      <c r="K155" s="42" t="n">
        <v>3795</v>
      </c>
      <c r="L155" s="42" t="n">
        <v>3795</v>
      </c>
      <c r="M155" s="39" t="s">
        <v>217</v>
      </c>
      <c r="N155" s="36" t="s">
        <v>106</v>
      </c>
      <c r="O155" s="39"/>
      <c r="P155" s="39"/>
      <c r="Q155" s="36" t="s">
        <v>1246</v>
      </c>
      <c r="R155" s="39"/>
      <c r="S155" s="36" t="s">
        <v>1247</v>
      </c>
      <c r="T155" s="39"/>
      <c r="U155" s="36" t="s">
        <v>1248</v>
      </c>
      <c r="V155" s="39"/>
      <c r="W155" s="39" t="s">
        <v>822</v>
      </c>
      <c r="X155" s="39"/>
      <c r="Y155" s="39"/>
      <c r="Z155" s="39" t="s">
        <v>776</v>
      </c>
      <c r="AA155" s="37" t="s">
        <v>216</v>
      </c>
      <c r="AB155" s="38" t="s">
        <v>217</v>
      </c>
      <c r="AC155" s="38" t="s">
        <v>217</v>
      </c>
      <c r="AD155" s="37" t="s">
        <v>216</v>
      </c>
      <c r="AE155" s="38" t="s">
        <v>217</v>
      </c>
      <c r="AF155" s="37" t="s">
        <v>216</v>
      </c>
      <c r="AG155" s="38" t="s">
        <v>217</v>
      </c>
      <c r="AH155" s="37" t="s">
        <v>216</v>
      </c>
      <c r="AI155" s="38" t="s">
        <v>217</v>
      </c>
    </row>
    <row r="156" customFormat="false" ht="57.75" hidden="false" customHeight="true" outlineLevel="0" collapsed="false">
      <c r="A156" s="32" t="n">
        <v>155</v>
      </c>
      <c r="B156" s="34" t="s">
        <v>199</v>
      </c>
      <c r="C156" s="32" t="s">
        <v>200</v>
      </c>
      <c r="D156" s="32" t="s">
        <v>201</v>
      </c>
      <c r="E156" s="31" t="s">
        <v>1249</v>
      </c>
      <c r="F156" s="32" t="s">
        <v>1250</v>
      </c>
      <c r="G156" s="32" t="s">
        <v>1251</v>
      </c>
      <c r="H156" s="32" t="s">
        <v>349</v>
      </c>
      <c r="I156" s="32" t="s">
        <v>1252</v>
      </c>
      <c r="J156" s="32"/>
      <c r="K156" s="35"/>
      <c r="L156" s="35"/>
      <c r="M156" s="32" t="s">
        <v>217</v>
      </c>
      <c r="N156" s="36" t="s">
        <v>106</v>
      </c>
      <c r="O156" s="32"/>
      <c r="P156" s="32"/>
      <c r="Q156" s="32"/>
      <c r="R156" s="32"/>
      <c r="S156" s="32"/>
      <c r="T156" s="36" t="s">
        <v>1253</v>
      </c>
      <c r="U156" s="36" t="s">
        <v>1254</v>
      </c>
      <c r="V156" s="32"/>
      <c r="W156" s="32" t="s">
        <v>1255</v>
      </c>
      <c r="X156" s="32"/>
      <c r="Y156" s="32"/>
      <c r="Z156" s="32" t="s">
        <v>776</v>
      </c>
      <c r="AA156" s="37" t="s">
        <v>216</v>
      </c>
      <c r="AB156" s="38" t="s">
        <v>217</v>
      </c>
      <c r="AC156" s="38" t="s">
        <v>217</v>
      </c>
      <c r="AD156" s="38" t="s">
        <v>217</v>
      </c>
      <c r="AE156" s="38" t="s">
        <v>217</v>
      </c>
      <c r="AF156" s="38" t="s">
        <v>217</v>
      </c>
      <c r="AG156" s="37" t="s">
        <v>216</v>
      </c>
      <c r="AH156" s="37" t="s">
        <v>216</v>
      </c>
      <c r="AI156" s="38" t="s">
        <v>217</v>
      </c>
    </row>
    <row r="157" customFormat="false" ht="57.75" hidden="false" customHeight="true" outlineLevel="0" collapsed="false">
      <c r="A157" s="39" t="n">
        <v>156</v>
      </c>
      <c r="B157" s="40" t="s">
        <v>199</v>
      </c>
      <c r="C157" s="39" t="s">
        <v>200</v>
      </c>
      <c r="D157" s="39" t="s">
        <v>201</v>
      </c>
      <c r="E157" s="41" t="s">
        <v>1256</v>
      </c>
      <c r="F157" s="39" t="s">
        <v>1257</v>
      </c>
      <c r="G157" s="39" t="s">
        <v>1251</v>
      </c>
      <c r="H157" s="39" t="s">
        <v>205</v>
      </c>
      <c r="I157" s="39" t="s">
        <v>1258</v>
      </c>
      <c r="J157" s="39"/>
      <c r="K157" s="42"/>
      <c r="L157" s="42"/>
      <c r="M157" s="39" t="s">
        <v>222</v>
      </c>
      <c r="N157" s="39"/>
      <c r="O157" s="39"/>
      <c r="P157" s="39"/>
      <c r="Q157" s="39"/>
      <c r="R157" s="39"/>
      <c r="S157" s="39"/>
      <c r="T157" s="39"/>
      <c r="U157" s="39"/>
      <c r="V157" s="39"/>
      <c r="W157" s="39"/>
      <c r="X157" s="39" t="s">
        <v>746</v>
      </c>
      <c r="Y157" s="39"/>
      <c r="Z157" s="39" t="s">
        <v>334</v>
      </c>
      <c r="AA157" s="38" t="s">
        <v>217</v>
      </c>
      <c r="AB157" s="38" t="s">
        <v>217</v>
      </c>
      <c r="AC157" s="38" t="s">
        <v>217</v>
      </c>
      <c r="AD157" s="38" t="s">
        <v>217</v>
      </c>
      <c r="AE157" s="38" t="s">
        <v>217</v>
      </c>
      <c r="AF157" s="38" t="s">
        <v>217</v>
      </c>
      <c r="AG157" s="38" t="s">
        <v>217</v>
      </c>
      <c r="AH157" s="38" t="s">
        <v>217</v>
      </c>
      <c r="AI157" s="38" t="s">
        <v>217</v>
      </c>
    </row>
    <row r="158" customFormat="false" ht="57.75" hidden="false" customHeight="true" outlineLevel="0" collapsed="false">
      <c r="A158" s="32" t="n">
        <v>157</v>
      </c>
      <c r="B158" s="34" t="s">
        <v>199</v>
      </c>
      <c r="C158" s="32" t="s">
        <v>200</v>
      </c>
      <c r="D158" s="32" t="s">
        <v>201</v>
      </c>
      <c r="E158" s="31" t="s">
        <v>1259</v>
      </c>
      <c r="F158" s="32" t="s">
        <v>1260</v>
      </c>
      <c r="G158" s="32" t="s">
        <v>1251</v>
      </c>
      <c r="H158" s="32" t="s">
        <v>385</v>
      </c>
      <c r="I158" s="32" t="s">
        <v>1261</v>
      </c>
      <c r="J158" s="32" t="s">
        <v>1262</v>
      </c>
      <c r="K158" s="35" t="n">
        <v>3150</v>
      </c>
      <c r="L158" s="35" t="n">
        <v>3150</v>
      </c>
      <c r="M158" s="32" t="s">
        <v>217</v>
      </c>
      <c r="N158" s="36" t="s">
        <v>106</v>
      </c>
      <c r="O158" s="32"/>
      <c r="P158" s="36" t="s">
        <v>653</v>
      </c>
      <c r="Q158" s="32"/>
      <c r="R158" s="32"/>
      <c r="S158" s="36" t="s">
        <v>450</v>
      </c>
      <c r="T158" s="32"/>
      <c r="U158" s="36" t="s">
        <v>1263</v>
      </c>
      <c r="V158" s="32"/>
      <c r="W158" s="32" t="s">
        <v>302</v>
      </c>
      <c r="X158" s="32"/>
      <c r="Y158" s="32"/>
      <c r="Z158" s="32" t="s">
        <v>710</v>
      </c>
      <c r="AA158" s="37" t="s">
        <v>216</v>
      </c>
      <c r="AB158" s="38" t="s">
        <v>217</v>
      </c>
      <c r="AC158" s="37" t="s">
        <v>216</v>
      </c>
      <c r="AD158" s="38" t="s">
        <v>217</v>
      </c>
      <c r="AE158" s="38" t="s">
        <v>217</v>
      </c>
      <c r="AF158" s="37" t="s">
        <v>216</v>
      </c>
      <c r="AG158" s="38" t="s">
        <v>217</v>
      </c>
      <c r="AH158" s="37" t="s">
        <v>216</v>
      </c>
      <c r="AI158" s="38" t="s">
        <v>217</v>
      </c>
    </row>
    <row r="159" customFormat="false" ht="57.75" hidden="false" customHeight="true" outlineLevel="0" collapsed="false">
      <c r="A159" s="39" t="n">
        <v>158</v>
      </c>
      <c r="B159" s="40" t="s">
        <v>199</v>
      </c>
      <c r="C159" s="39" t="s">
        <v>200</v>
      </c>
      <c r="D159" s="39" t="s">
        <v>201</v>
      </c>
      <c r="E159" s="41" t="s">
        <v>1264</v>
      </c>
      <c r="F159" s="39" t="s">
        <v>1213</v>
      </c>
      <c r="G159" s="39" t="s">
        <v>1251</v>
      </c>
      <c r="H159" s="39" t="s">
        <v>349</v>
      </c>
      <c r="I159" s="39" t="s">
        <v>1265</v>
      </c>
      <c r="J159" s="39"/>
      <c r="K159" s="42"/>
      <c r="L159" s="42"/>
      <c r="M159" s="39" t="s">
        <v>217</v>
      </c>
      <c r="N159" s="36" t="s">
        <v>106</v>
      </c>
      <c r="O159" s="39"/>
      <c r="P159" s="36" t="s">
        <v>1266</v>
      </c>
      <c r="Q159" s="39"/>
      <c r="R159" s="39"/>
      <c r="S159" s="39"/>
      <c r="T159" s="39"/>
      <c r="U159" s="36" t="s">
        <v>1263</v>
      </c>
      <c r="V159" s="39"/>
      <c r="W159" s="39" t="s">
        <v>1267</v>
      </c>
      <c r="X159" s="39"/>
      <c r="Y159" s="39"/>
      <c r="Z159" s="39" t="s">
        <v>791</v>
      </c>
      <c r="AA159" s="37" t="s">
        <v>216</v>
      </c>
      <c r="AB159" s="38" t="s">
        <v>217</v>
      </c>
      <c r="AC159" s="37" t="s">
        <v>216</v>
      </c>
      <c r="AD159" s="38" t="s">
        <v>217</v>
      </c>
      <c r="AE159" s="38" t="s">
        <v>217</v>
      </c>
      <c r="AF159" s="38" t="s">
        <v>217</v>
      </c>
      <c r="AG159" s="38" t="s">
        <v>217</v>
      </c>
      <c r="AH159" s="37" t="s">
        <v>216</v>
      </c>
      <c r="AI159" s="38" t="s">
        <v>217</v>
      </c>
    </row>
    <row r="160" customFormat="false" ht="57.75" hidden="false" customHeight="true" outlineLevel="0" collapsed="false">
      <c r="A160" s="32" t="n">
        <v>159</v>
      </c>
      <c r="B160" s="34" t="s">
        <v>199</v>
      </c>
      <c r="C160" s="32" t="s">
        <v>200</v>
      </c>
      <c r="D160" s="32" t="s">
        <v>201</v>
      </c>
      <c r="E160" s="31" t="s">
        <v>1268</v>
      </c>
      <c r="F160" s="32" t="s">
        <v>1269</v>
      </c>
      <c r="G160" s="32" t="s">
        <v>1270</v>
      </c>
      <c r="H160" s="32" t="s">
        <v>642</v>
      </c>
      <c r="I160" s="32" t="s">
        <v>1271</v>
      </c>
      <c r="J160" s="32"/>
      <c r="K160" s="35"/>
      <c r="L160" s="35"/>
      <c r="M160" s="32" t="s">
        <v>208</v>
      </c>
      <c r="N160" s="32"/>
      <c r="O160" s="32"/>
      <c r="P160" s="36" t="s">
        <v>1272</v>
      </c>
      <c r="Q160" s="36" t="s">
        <v>1273</v>
      </c>
      <c r="R160" s="32"/>
      <c r="S160" s="36" t="s">
        <v>1274</v>
      </c>
      <c r="T160" s="36" t="s">
        <v>755</v>
      </c>
      <c r="U160" s="36" t="s">
        <v>1275</v>
      </c>
      <c r="V160" s="32"/>
      <c r="W160" s="32" t="s">
        <v>656</v>
      </c>
      <c r="X160" s="32"/>
      <c r="Y160" s="32"/>
      <c r="Z160" s="32" t="s">
        <v>1276</v>
      </c>
      <c r="AA160" s="38" t="s">
        <v>217</v>
      </c>
      <c r="AB160" s="38" t="s">
        <v>217</v>
      </c>
      <c r="AC160" s="37" t="s">
        <v>216</v>
      </c>
      <c r="AD160" s="37" t="s">
        <v>216</v>
      </c>
      <c r="AE160" s="38" t="s">
        <v>217</v>
      </c>
      <c r="AF160" s="37" t="s">
        <v>216</v>
      </c>
      <c r="AG160" s="37" t="s">
        <v>216</v>
      </c>
      <c r="AH160" s="37" t="s">
        <v>216</v>
      </c>
      <c r="AI160" s="38" t="s">
        <v>217</v>
      </c>
    </row>
    <row r="161" customFormat="false" ht="57.75" hidden="false" customHeight="true" outlineLevel="0" collapsed="false">
      <c r="A161" s="39" t="n">
        <v>160</v>
      </c>
      <c r="B161" s="40" t="s">
        <v>199</v>
      </c>
      <c r="C161" s="39" t="s">
        <v>200</v>
      </c>
      <c r="D161" s="39" t="s">
        <v>201</v>
      </c>
      <c r="E161" s="41" t="s">
        <v>1277</v>
      </c>
      <c r="F161" s="39" t="s">
        <v>1151</v>
      </c>
      <c r="G161" s="39" t="s">
        <v>1270</v>
      </c>
      <c r="H161" s="39" t="s">
        <v>642</v>
      </c>
      <c r="I161" s="39" t="s">
        <v>1278</v>
      </c>
      <c r="J161" s="39" t="s">
        <v>1279</v>
      </c>
      <c r="K161" s="42" t="n">
        <v>2850</v>
      </c>
      <c r="L161" s="42" t="n">
        <v>2850</v>
      </c>
      <c r="M161" s="39" t="s">
        <v>208</v>
      </c>
      <c r="N161" s="36" t="s">
        <v>106</v>
      </c>
      <c r="O161" s="39"/>
      <c r="P161" s="43" t="s">
        <v>1280</v>
      </c>
      <c r="Q161" s="36" t="s">
        <v>1281</v>
      </c>
      <c r="R161" s="39"/>
      <c r="S161" s="36" t="s">
        <v>1282</v>
      </c>
      <c r="T161" s="36" t="s">
        <v>755</v>
      </c>
      <c r="U161" s="36" t="s">
        <v>1283</v>
      </c>
      <c r="V161" s="39"/>
      <c r="W161" s="39" t="s">
        <v>1284</v>
      </c>
      <c r="X161" s="39"/>
      <c r="Y161" s="39"/>
      <c r="Z161" s="39" t="s">
        <v>304</v>
      </c>
      <c r="AA161" s="37" t="s">
        <v>216</v>
      </c>
      <c r="AB161" s="38" t="s">
        <v>217</v>
      </c>
      <c r="AC161" s="44" t="s">
        <v>335</v>
      </c>
      <c r="AD161" s="37" t="s">
        <v>216</v>
      </c>
      <c r="AE161" s="38" t="s">
        <v>217</v>
      </c>
      <c r="AF161" s="37" t="s">
        <v>216</v>
      </c>
      <c r="AG161" s="37" t="s">
        <v>216</v>
      </c>
      <c r="AH161" s="37" t="s">
        <v>216</v>
      </c>
      <c r="AI161" s="38" t="s">
        <v>217</v>
      </c>
    </row>
    <row r="162" customFormat="false" ht="57.75" hidden="false" customHeight="true" outlineLevel="0" collapsed="false">
      <c r="A162" s="32" t="n">
        <v>161</v>
      </c>
      <c r="B162" s="34" t="s">
        <v>199</v>
      </c>
      <c r="C162" s="32" t="s">
        <v>200</v>
      </c>
      <c r="D162" s="32" t="s">
        <v>201</v>
      </c>
      <c r="E162" s="31" t="s">
        <v>1285</v>
      </c>
      <c r="F162" s="32" t="s">
        <v>1286</v>
      </c>
      <c r="G162" s="32" t="s">
        <v>1270</v>
      </c>
      <c r="H162" s="32" t="s">
        <v>1287</v>
      </c>
      <c r="I162" s="32" t="s">
        <v>1288</v>
      </c>
      <c r="J162" s="32"/>
      <c r="K162" s="35"/>
      <c r="L162" s="35"/>
      <c r="M162" s="32" t="s">
        <v>217</v>
      </c>
      <c r="N162" s="36" t="s">
        <v>106</v>
      </c>
      <c r="O162" s="32"/>
      <c r="P162" s="32"/>
      <c r="Q162" s="36" t="s">
        <v>1281</v>
      </c>
      <c r="R162" s="32"/>
      <c r="S162" s="36" t="s">
        <v>322</v>
      </c>
      <c r="T162" s="32"/>
      <c r="U162" s="36" t="s">
        <v>1289</v>
      </c>
      <c r="V162" s="32"/>
      <c r="W162" s="32" t="s">
        <v>1290</v>
      </c>
      <c r="X162" s="32"/>
      <c r="Y162" s="32"/>
      <c r="Z162" s="32" t="s">
        <v>829</v>
      </c>
      <c r="AA162" s="37" t="s">
        <v>216</v>
      </c>
      <c r="AB162" s="38" t="s">
        <v>217</v>
      </c>
      <c r="AC162" s="38" t="s">
        <v>217</v>
      </c>
      <c r="AD162" s="37" t="s">
        <v>216</v>
      </c>
      <c r="AE162" s="38" t="s">
        <v>217</v>
      </c>
      <c r="AF162" s="37" t="s">
        <v>216</v>
      </c>
      <c r="AG162" s="38" t="s">
        <v>217</v>
      </c>
      <c r="AH162" s="37" t="s">
        <v>216</v>
      </c>
      <c r="AI162" s="38" t="s">
        <v>217</v>
      </c>
    </row>
    <row r="163" customFormat="false" ht="57.75" hidden="false" customHeight="true" outlineLevel="0" collapsed="false">
      <c r="A163" s="39" t="n">
        <v>162</v>
      </c>
      <c r="B163" s="40" t="s">
        <v>199</v>
      </c>
      <c r="C163" s="39" t="s">
        <v>200</v>
      </c>
      <c r="D163" s="39" t="s">
        <v>201</v>
      </c>
      <c r="E163" s="41" t="s">
        <v>1291</v>
      </c>
      <c r="F163" s="39" t="s">
        <v>1292</v>
      </c>
      <c r="G163" s="39" t="s">
        <v>1270</v>
      </c>
      <c r="H163" s="39" t="s">
        <v>1293</v>
      </c>
      <c r="I163" s="39" t="s">
        <v>1294</v>
      </c>
      <c r="J163" s="39"/>
      <c r="K163" s="42"/>
      <c r="L163" s="42"/>
      <c r="M163" s="39" t="s">
        <v>217</v>
      </c>
      <c r="N163" s="39"/>
      <c r="O163" s="39"/>
      <c r="P163" s="36" t="s">
        <v>653</v>
      </c>
      <c r="Q163" s="39"/>
      <c r="R163" s="39"/>
      <c r="S163" s="39"/>
      <c r="T163" s="36" t="s">
        <v>755</v>
      </c>
      <c r="U163" s="36" t="s">
        <v>1295</v>
      </c>
      <c r="V163" s="39"/>
      <c r="W163" s="39" t="s">
        <v>734</v>
      </c>
      <c r="X163" s="39"/>
      <c r="Y163" s="39"/>
      <c r="Z163" s="39" t="s">
        <v>505</v>
      </c>
      <c r="AA163" s="38" t="s">
        <v>217</v>
      </c>
      <c r="AB163" s="38" t="s">
        <v>217</v>
      </c>
      <c r="AC163" s="37" t="s">
        <v>216</v>
      </c>
      <c r="AD163" s="38" t="s">
        <v>217</v>
      </c>
      <c r="AE163" s="38" t="s">
        <v>217</v>
      </c>
      <c r="AF163" s="38" t="s">
        <v>217</v>
      </c>
      <c r="AG163" s="37" t="s">
        <v>216</v>
      </c>
      <c r="AH163" s="37" t="s">
        <v>216</v>
      </c>
      <c r="AI163" s="38" t="s">
        <v>217</v>
      </c>
    </row>
    <row r="164" customFormat="false" ht="57.75" hidden="false" customHeight="true" outlineLevel="0" collapsed="false">
      <c r="A164" s="32" t="n">
        <v>163</v>
      </c>
      <c r="B164" s="34" t="s">
        <v>199</v>
      </c>
      <c r="C164" s="32" t="s">
        <v>200</v>
      </c>
      <c r="D164" s="32" t="s">
        <v>201</v>
      </c>
      <c r="E164" s="31" t="s">
        <v>1296</v>
      </c>
      <c r="F164" s="32" t="s">
        <v>1297</v>
      </c>
      <c r="G164" s="32" t="s">
        <v>1270</v>
      </c>
      <c r="H164" s="32" t="s">
        <v>349</v>
      </c>
      <c r="I164" s="32" t="s">
        <v>1298</v>
      </c>
      <c r="J164" s="32"/>
      <c r="K164" s="35"/>
      <c r="L164" s="35"/>
      <c r="M164" s="32" t="s">
        <v>217</v>
      </c>
      <c r="N164" s="32"/>
      <c r="O164" s="32"/>
      <c r="P164" s="32"/>
      <c r="Q164" s="32"/>
      <c r="R164" s="32"/>
      <c r="S164" s="32"/>
      <c r="T164" s="36" t="s">
        <v>755</v>
      </c>
      <c r="U164" s="36" t="s">
        <v>788</v>
      </c>
      <c r="V164" s="32"/>
      <c r="W164" s="32" t="s">
        <v>1299</v>
      </c>
      <c r="X164" s="32"/>
      <c r="Y164" s="32"/>
      <c r="Z164" s="32" t="s">
        <v>273</v>
      </c>
      <c r="AA164" s="38" t="s">
        <v>217</v>
      </c>
      <c r="AB164" s="38" t="s">
        <v>217</v>
      </c>
      <c r="AC164" s="38" t="s">
        <v>217</v>
      </c>
      <c r="AD164" s="38" t="s">
        <v>217</v>
      </c>
      <c r="AE164" s="38" t="s">
        <v>217</v>
      </c>
      <c r="AF164" s="38" t="s">
        <v>217</v>
      </c>
      <c r="AG164" s="37" t="s">
        <v>216</v>
      </c>
      <c r="AH164" s="37" t="s">
        <v>216</v>
      </c>
      <c r="AI164" s="38" t="s">
        <v>217</v>
      </c>
    </row>
    <row r="165" customFormat="false" ht="57.75" hidden="false" customHeight="true" outlineLevel="0" collapsed="false">
      <c r="A165" s="39" t="n">
        <v>164</v>
      </c>
      <c r="B165" s="40" t="s">
        <v>199</v>
      </c>
      <c r="C165" s="39" t="s">
        <v>200</v>
      </c>
      <c r="D165" s="39" t="s">
        <v>201</v>
      </c>
      <c r="E165" s="41" t="s">
        <v>1300</v>
      </c>
      <c r="F165" s="39" t="s">
        <v>1301</v>
      </c>
      <c r="G165" s="39" t="s">
        <v>1302</v>
      </c>
      <c r="H165" s="39" t="s">
        <v>349</v>
      </c>
      <c r="I165" s="39" t="s">
        <v>1303</v>
      </c>
      <c r="J165" s="39"/>
      <c r="K165" s="42"/>
      <c r="L165" s="42"/>
      <c r="M165" s="39" t="s">
        <v>217</v>
      </c>
      <c r="N165" s="39"/>
      <c r="O165" s="39"/>
      <c r="P165" s="39"/>
      <c r="Q165" s="39"/>
      <c r="R165" s="39"/>
      <c r="S165" s="39"/>
      <c r="T165" s="39"/>
      <c r="U165" s="36" t="s">
        <v>1304</v>
      </c>
      <c r="V165" s="39"/>
      <c r="W165" s="39" t="s">
        <v>1305</v>
      </c>
      <c r="X165" s="39"/>
      <c r="Y165" s="39"/>
      <c r="Z165" s="39" t="s">
        <v>291</v>
      </c>
      <c r="AA165" s="38" t="s">
        <v>217</v>
      </c>
      <c r="AB165" s="38" t="s">
        <v>217</v>
      </c>
      <c r="AC165" s="38" t="s">
        <v>217</v>
      </c>
      <c r="AD165" s="38" t="s">
        <v>217</v>
      </c>
      <c r="AE165" s="38" t="s">
        <v>217</v>
      </c>
      <c r="AF165" s="38" t="s">
        <v>217</v>
      </c>
      <c r="AG165" s="38" t="s">
        <v>217</v>
      </c>
      <c r="AH165" s="37" t="s">
        <v>216</v>
      </c>
      <c r="AI165" s="38" t="s">
        <v>217</v>
      </c>
    </row>
    <row r="166" customFormat="false" ht="57.75" hidden="false" customHeight="true" outlineLevel="0" collapsed="false">
      <c r="A166" s="32" t="n">
        <v>165</v>
      </c>
      <c r="B166" s="34" t="s">
        <v>199</v>
      </c>
      <c r="C166" s="32" t="s">
        <v>200</v>
      </c>
      <c r="D166" s="32" t="s">
        <v>201</v>
      </c>
      <c r="E166" s="31" t="s">
        <v>1306</v>
      </c>
      <c r="F166" s="32" t="s">
        <v>1301</v>
      </c>
      <c r="G166" s="32" t="s">
        <v>1307</v>
      </c>
      <c r="H166" s="32" t="s">
        <v>349</v>
      </c>
      <c r="I166" s="32" t="s">
        <v>1308</v>
      </c>
      <c r="J166" s="32"/>
      <c r="K166" s="35"/>
      <c r="L166" s="35"/>
      <c r="M166" s="32" t="s">
        <v>217</v>
      </c>
      <c r="N166" s="32"/>
      <c r="O166" s="32"/>
      <c r="P166" s="32"/>
      <c r="Q166" s="32"/>
      <c r="R166" s="32"/>
      <c r="S166" s="32"/>
      <c r="T166" s="32"/>
      <c r="U166" s="36" t="s">
        <v>1309</v>
      </c>
      <c r="V166" s="32"/>
      <c r="W166" s="32" t="s">
        <v>1310</v>
      </c>
      <c r="X166" s="32"/>
      <c r="Y166" s="32"/>
      <c r="Z166" s="32" t="s">
        <v>669</v>
      </c>
      <c r="AA166" s="38" t="s">
        <v>217</v>
      </c>
      <c r="AB166" s="38" t="s">
        <v>217</v>
      </c>
      <c r="AC166" s="38" t="s">
        <v>217</v>
      </c>
      <c r="AD166" s="38" t="s">
        <v>217</v>
      </c>
      <c r="AE166" s="38" t="s">
        <v>217</v>
      </c>
      <c r="AF166" s="38" t="s">
        <v>217</v>
      </c>
      <c r="AG166" s="38" t="s">
        <v>217</v>
      </c>
      <c r="AH166" s="37" t="s">
        <v>216</v>
      </c>
      <c r="AI166" s="38" t="s">
        <v>217</v>
      </c>
    </row>
    <row r="167" customFormat="false" ht="57.75" hidden="false" customHeight="true" outlineLevel="0" collapsed="false">
      <c r="A167" s="39" t="n">
        <v>166</v>
      </c>
      <c r="B167" s="40" t="s">
        <v>199</v>
      </c>
      <c r="C167" s="39" t="s">
        <v>200</v>
      </c>
      <c r="D167" s="39" t="s">
        <v>201</v>
      </c>
      <c r="E167" s="41" t="s">
        <v>1311</v>
      </c>
      <c r="F167" s="39" t="s">
        <v>1301</v>
      </c>
      <c r="G167" s="39" t="s">
        <v>1312</v>
      </c>
      <c r="H167" s="39" t="s">
        <v>349</v>
      </c>
      <c r="I167" s="39" t="s">
        <v>427</v>
      </c>
      <c r="J167" s="39"/>
      <c r="K167" s="42"/>
      <c r="L167" s="42"/>
      <c r="M167" s="39" t="s">
        <v>217</v>
      </c>
      <c r="N167" s="39"/>
      <c r="O167" s="39"/>
      <c r="P167" s="43" t="s">
        <v>1313</v>
      </c>
      <c r="Q167" s="39"/>
      <c r="R167" s="39"/>
      <c r="S167" s="39"/>
      <c r="T167" s="39"/>
      <c r="U167" s="39"/>
      <c r="V167" s="39"/>
      <c r="W167" s="39" t="s">
        <v>302</v>
      </c>
      <c r="X167" s="39"/>
      <c r="Y167" s="39"/>
      <c r="Z167" s="39" t="s">
        <v>1314</v>
      </c>
      <c r="AA167" s="38" t="s">
        <v>217</v>
      </c>
      <c r="AB167" s="38" t="s">
        <v>217</v>
      </c>
      <c r="AC167" s="44" t="s">
        <v>335</v>
      </c>
      <c r="AD167" s="38" t="s">
        <v>217</v>
      </c>
      <c r="AE167" s="38" t="s">
        <v>217</v>
      </c>
      <c r="AF167" s="38" t="s">
        <v>217</v>
      </c>
      <c r="AG167" s="38" t="s">
        <v>217</v>
      </c>
      <c r="AH167" s="38" t="s">
        <v>217</v>
      </c>
      <c r="AI167" s="38" t="s">
        <v>217</v>
      </c>
    </row>
    <row r="168" customFormat="false" ht="57.75" hidden="false" customHeight="true" outlineLevel="0" collapsed="false">
      <c r="A168" s="32" t="n">
        <v>167</v>
      </c>
      <c r="B168" s="34" t="s">
        <v>199</v>
      </c>
      <c r="C168" s="32" t="s">
        <v>200</v>
      </c>
      <c r="D168" s="32" t="s">
        <v>201</v>
      </c>
      <c r="E168" s="31" t="s">
        <v>1315</v>
      </c>
      <c r="F168" s="32" t="s">
        <v>1301</v>
      </c>
      <c r="G168" s="32" t="s">
        <v>1316</v>
      </c>
      <c r="H168" s="32" t="s">
        <v>349</v>
      </c>
      <c r="I168" s="32" t="s">
        <v>1317</v>
      </c>
      <c r="J168" s="32"/>
      <c r="K168" s="35"/>
      <c r="L168" s="35"/>
      <c r="M168" s="32" t="s">
        <v>217</v>
      </c>
      <c r="N168" s="32"/>
      <c r="O168" s="32"/>
      <c r="P168" s="32"/>
      <c r="Q168" s="32"/>
      <c r="R168" s="32"/>
      <c r="S168" s="32"/>
      <c r="T168" s="32"/>
      <c r="U168" s="36" t="s">
        <v>1318</v>
      </c>
      <c r="V168" s="32"/>
      <c r="W168" s="32" t="s">
        <v>265</v>
      </c>
      <c r="X168" s="32"/>
      <c r="Y168" s="32"/>
      <c r="Z168" s="32" t="s">
        <v>251</v>
      </c>
      <c r="AA168" s="38" t="s">
        <v>217</v>
      </c>
      <c r="AB168" s="38" t="s">
        <v>217</v>
      </c>
      <c r="AC168" s="38" t="s">
        <v>217</v>
      </c>
      <c r="AD168" s="38" t="s">
        <v>217</v>
      </c>
      <c r="AE168" s="38" t="s">
        <v>217</v>
      </c>
      <c r="AF168" s="38" t="s">
        <v>217</v>
      </c>
      <c r="AG168" s="38" t="s">
        <v>217</v>
      </c>
      <c r="AH168" s="37" t="s">
        <v>216</v>
      </c>
      <c r="AI168" s="38" t="s">
        <v>217</v>
      </c>
    </row>
    <row r="169" customFormat="false" ht="57.75" hidden="false" customHeight="true" outlineLevel="0" collapsed="false">
      <c r="A169" s="39" t="n">
        <v>168</v>
      </c>
      <c r="B169" s="40" t="s">
        <v>199</v>
      </c>
      <c r="C169" s="39" t="s">
        <v>200</v>
      </c>
      <c r="D169" s="39" t="s">
        <v>201</v>
      </c>
      <c r="E169" s="41" t="s">
        <v>1319</v>
      </c>
      <c r="F169" s="39" t="s">
        <v>1320</v>
      </c>
      <c r="G169" s="39" t="s">
        <v>1321</v>
      </c>
      <c r="H169" s="39" t="s">
        <v>1322</v>
      </c>
      <c r="I169" s="39" t="s">
        <v>1323</v>
      </c>
      <c r="J169" s="39"/>
      <c r="K169" s="42"/>
      <c r="L169" s="42"/>
      <c r="M169" s="39" t="s">
        <v>217</v>
      </c>
      <c r="N169" s="36" t="s">
        <v>106</v>
      </c>
      <c r="O169" s="39"/>
      <c r="P169" s="39"/>
      <c r="Q169" s="39"/>
      <c r="R169" s="39"/>
      <c r="S169" s="36" t="s">
        <v>1324</v>
      </c>
      <c r="T169" s="39"/>
      <c r="U169" s="39"/>
      <c r="V169" s="39"/>
      <c r="W169" s="39" t="s">
        <v>1325</v>
      </c>
      <c r="X169" s="39"/>
      <c r="Y169" s="39"/>
      <c r="Z169" s="39" t="s">
        <v>1326</v>
      </c>
      <c r="AA169" s="37" t="s">
        <v>216</v>
      </c>
      <c r="AB169" s="38" t="s">
        <v>217</v>
      </c>
      <c r="AC169" s="38" t="s">
        <v>217</v>
      </c>
      <c r="AD169" s="38" t="s">
        <v>217</v>
      </c>
      <c r="AE169" s="38" t="s">
        <v>217</v>
      </c>
      <c r="AF169" s="37" t="s">
        <v>216</v>
      </c>
      <c r="AG169" s="38" t="s">
        <v>217</v>
      </c>
      <c r="AH169" s="38" t="s">
        <v>217</v>
      </c>
      <c r="AI169" s="38" t="s">
        <v>217</v>
      </c>
    </row>
    <row r="170" customFormat="false" ht="57.75" hidden="false" customHeight="true" outlineLevel="0" collapsed="false">
      <c r="A170" s="32" t="n">
        <v>169</v>
      </c>
      <c r="B170" s="34" t="s">
        <v>199</v>
      </c>
      <c r="C170" s="32" t="s">
        <v>200</v>
      </c>
      <c r="D170" s="32" t="s">
        <v>201</v>
      </c>
      <c r="E170" s="31" t="s">
        <v>1327</v>
      </c>
      <c r="F170" s="32" t="s">
        <v>1328</v>
      </c>
      <c r="G170" s="32" t="s">
        <v>1329</v>
      </c>
      <c r="H170" s="32" t="s">
        <v>939</v>
      </c>
      <c r="I170" s="32" t="s">
        <v>1330</v>
      </c>
      <c r="J170" s="32"/>
      <c r="K170" s="35"/>
      <c r="L170" s="35"/>
      <c r="M170" s="32" t="s">
        <v>208</v>
      </c>
      <c r="N170" s="32"/>
      <c r="O170" s="32"/>
      <c r="P170" s="32"/>
      <c r="Q170" s="32"/>
      <c r="R170" s="32"/>
      <c r="S170" s="32"/>
      <c r="T170" s="36" t="s">
        <v>755</v>
      </c>
      <c r="U170" s="32"/>
      <c r="V170" s="32"/>
      <c r="W170" s="32" t="s">
        <v>265</v>
      </c>
      <c r="X170" s="32"/>
      <c r="Y170" s="32"/>
      <c r="Z170" s="32"/>
      <c r="AA170" s="38" t="s">
        <v>217</v>
      </c>
      <c r="AB170" s="38" t="s">
        <v>217</v>
      </c>
      <c r="AC170" s="38" t="s">
        <v>217</v>
      </c>
      <c r="AD170" s="38" t="s">
        <v>217</v>
      </c>
      <c r="AE170" s="38" t="s">
        <v>217</v>
      </c>
      <c r="AF170" s="38" t="s">
        <v>217</v>
      </c>
      <c r="AG170" s="37" t="s">
        <v>216</v>
      </c>
      <c r="AH170" s="38" t="s">
        <v>217</v>
      </c>
      <c r="AI170" s="38" t="s">
        <v>217</v>
      </c>
    </row>
    <row r="171" customFormat="false" ht="57.75" hidden="false" customHeight="true" outlineLevel="0" collapsed="false">
      <c r="A171" s="39" t="n">
        <v>170</v>
      </c>
      <c r="B171" s="40" t="s">
        <v>199</v>
      </c>
      <c r="C171" s="39" t="s">
        <v>200</v>
      </c>
      <c r="D171" s="39" t="s">
        <v>201</v>
      </c>
      <c r="E171" s="41" t="s">
        <v>1331</v>
      </c>
      <c r="F171" s="39" t="s">
        <v>1332</v>
      </c>
      <c r="G171" s="39" t="s">
        <v>1333</v>
      </c>
      <c r="H171" s="39" t="s">
        <v>205</v>
      </c>
      <c r="I171" s="39" t="s">
        <v>745</v>
      </c>
      <c r="J171" s="39"/>
      <c r="K171" s="42"/>
      <c r="L171" s="42"/>
      <c r="M171" s="39" t="s">
        <v>222</v>
      </c>
      <c r="N171" s="39"/>
      <c r="O171" s="39"/>
      <c r="P171" s="39"/>
      <c r="Q171" s="39"/>
      <c r="R171" s="39"/>
      <c r="S171" s="39"/>
      <c r="T171" s="39"/>
      <c r="U171" s="39"/>
      <c r="V171" s="39"/>
      <c r="W171" s="39"/>
      <c r="X171" s="39" t="s">
        <v>746</v>
      </c>
      <c r="Y171" s="39"/>
      <c r="Z171" s="39" t="s">
        <v>669</v>
      </c>
      <c r="AA171" s="38" t="s">
        <v>217</v>
      </c>
      <c r="AB171" s="38" t="s">
        <v>217</v>
      </c>
      <c r="AC171" s="38" t="s">
        <v>217</v>
      </c>
      <c r="AD171" s="38" t="s">
        <v>217</v>
      </c>
      <c r="AE171" s="38" t="s">
        <v>217</v>
      </c>
      <c r="AF171" s="38" t="s">
        <v>217</v>
      </c>
      <c r="AG171" s="38" t="s">
        <v>217</v>
      </c>
      <c r="AH171" s="38" t="s">
        <v>217</v>
      </c>
      <c r="AI171" s="38" t="s">
        <v>217</v>
      </c>
    </row>
    <row r="172" customFormat="false" ht="57.75" hidden="false" customHeight="true" outlineLevel="0" collapsed="false">
      <c r="A172" s="32" t="n">
        <v>171</v>
      </c>
      <c r="B172" s="34" t="s">
        <v>199</v>
      </c>
      <c r="C172" s="32" t="s">
        <v>200</v>
      </c>
      <c r="D172" s="32" t="s">
        <v>201</v>
      </c>
      <c r="E172" s="31" t="s">
        <v>1334</v>
      </c>
      <c r="F172" s="32" t="s">
        <v>1335</v>
      </c>
      <c r="G172" s="32" t="s">
        <v>1336</v>
      </c>
      <c r="H172" s="32" t="s">
        <v>939</v>
      </c>
      <c r="I172" s="32" t="s">
        <v>1337</v>
      </c>
      <c r="J172" s="32"/>
      <c r="K172" s="35"/>
      <c r="L172" s="35"/>
      <c r="M172" s="32" t="s">
        <v>208</v>
      </c>
      <c r="N172" s="32"/>
      <c r="O172" s="32"/>
      <c r="P172" s="32"/>
      <c r="Q172" s="32"/>
      <c r="R172" s="32"/>
      <c r="S172" s="32"/>
      <c r="T172" s="36" t="s">
        <v>755</v>
      </c>
      <c r="U172" s="32"/>
      <c r="V172" s="32"/>
      <c r="W172" s="32" t="s">
        <v>302</v>
      </c>
      <c r="X172" s="32"/>
      <c r="Y172" s="32"/>
      <c r="Z172" s="32" t="s">
        <v>1338</v>
      </c>
      <c r="AA172" s="38" t="s">
        <v>217</v>
      </c>
      <c r="AB172" s="38" t="s">
        <v>217</v>
      </c>
      <c r="AC172" s="38" t="s">
        <v>217</v>
      </c>
      <c r="AD172" s="38" t="s">
        <v>217</v>
      </c>
      <c r="AE172" s="38" t="s">
        <v>217</v>
      </c>
      <c r="AF172" s="38" t="s">
        <v>217</v>
      </c>
      <c r="AG172" s="37" t="s">
        <v>216</v>
      </c>
      <c r="AH172" s="38" t="s">
        <v>217</v>
      </c>
      <c r="AI172" s="38" t="s">
        <v>217</v>
      </c>
    </row>
    <row r="173" customFormat="false" ht="57.75" hidden="false" customHeight="true" outlineLevel="0" collapsed="false">
      <c r="A173" s="39" t="n">
        <v>172</v>
      </c>
      <c r="B173" s="40" t="s">
        <v>199</v>
      </c>
      <c r="C173" s="39" t="s">
        <v>200</v>
      </c>
      <c r="D173" s="39" t="s">
        <v>201</v>
      </c>
      <c r="E173" s="41" t="s">
        <v>1339</v>
      </c>
      <c r="F173" s="39" t="s">
        <v>1340</v>
      </c>
      <c r="G173" s="39" t="s">
        <v>1341</v>
      </c>
      <c r="H173" s="39" t="s">
        <v>642</v>
      </c>
      <c r="I173" s="39" t="s">
        <v>1342</v>
      </c>
      <c r="J173" s="39" t="s">
        <v>1343</v>
      </c>
      <c r="K173" s="42" t="n">
        <v>3650</v>
      </c>
      <c r="L173" s="42" t="n">
        <v>3650</v>
      </c>
      <c r="M173" s="39" t="s">
        <v>208</v>
      </c>
      <c r="N173" s="39"/>
      <c r="O173" s="39"/>
      <c r="P173" s="36" t="s">
        <v>298</v>
      </c>
      <c r="Q173" s="36" t="s">
        <v>517</v>
      </c>
      <c r="R173" s="39"/>
      <c r="S173" s="36" t="s">
        <v>322</v>
      </c>
      <c r="T173" s="36" t="s">
        <v>755</v>
      </c>
      <c r="U173" s="36" t="s">
        <v>213</v>
      </c>
      <c r="V173" s="39"/>
      <c r="W173" s="39" t="s">
        <v>1344</v>
      </c>
      <c r="X173" s="39"/>
      <c r="Y173" s="39"/>
      <c r="Z173" s="39" t="s">
        <v>669</v>
      </c>
      <c r="AA173" s="38" t="s">
        <v>217</v>
      </c>
      <c r="AB173" s="38" t="s">
        <v>217</v>
      </c>
      <c r="AC173" s="37" t="s">
        <v>216</v>
      </c>
      <c r="AD173" s="37" t="s">
        <v>216</v>
      </c>
      <c r="AE173" s="38" t="s">
        <v>217</v>
      </c>
      <c r="AF173" s="37" t="s">
        <v>216</v>
      </c>
      <c r="AG173" s="37" t="s">
        <v>216</v>
      </c>
      <c r="AH173" s="37" t="s">
        <v>216</v>
      </c>
      <c r="AI173" s="38" t="s">
        <v>217</v>
      </c>
    </row>
    <row r="174" customFormat="false" ht="57.75" hidden="false" customHeight="true" outlineLevel="0" collapsed="false">
      <c r="A174" s="32" t="n">
        <v>173</v>
      </c>
      <c r="B174" s="34" t="s">
        <v>199</v>
      </c>
      <c r="C174" s="32" t="s">
        <v>200</v>
      </c>
      <c r="D174" s="32" t="s">
        <v>201</v>
      </c>
      <c r="E174" s="31" t="s">
        <v>1345</v>
      </c>
      <c r="F174" s="32" t="s">
        <v>1335</v>
      </c>
      <c r="G174" s="32" t="s">
        <v>1346</v>
      </c>
      <c r="H174" s="32" t="s">
        <v>642</v>
      </c>
      <c r="I174" s="32" t="s">
        <v>1347</v>
      </c>
      <c r="J174" s="32"/>
      <c r="K174" s="35"/>
      <c r="L174" s="35"/>
      <c r="M174" s="32" t="s">
        <v>208</v>
      </c>
      <c r="N174" s="32"/>
      <c r="O174" s="32"/>
      <c r="P174" s="32"/>
      <c r="Q174" s="32"/>
      <c r="R174" s="32"/>
      <c r="S174" s="32"/>
      <c r="T174" s="36" t="s">
        <v>755</v>
      </c>
      <c r="U174" s="32"/>
      <c r="V174" s="32"/>
      <c r="W174" s="32" t="s">
        <v>1348</v>
      </c>
      <c r="X174" s="32"/>
      <c r="Y174" s="32"/>
      <c r="Z174" s="32" t="s">
        <v>791</v>
      </c>
      <c r="AA174" s="38" t="s">
        <v>217</v>
      </c>
      <c r="AB174" s="38" t="s">
        <v>217</v>
      </c>
      <c r="AC174" s="38" t="s">
        <v>217</v>
      </c>
      <c r="AD174" s="38" t="s">
        <v>217</v>
      </c>
      <c r="AE174" s="38" t="s">
        <v>217</v>
      </c>
      <c r="AF174" s="38" t="s">
        <v>217</v>
      </c>
      <c r="AG174" s="37" t="s">
        <v>216</v>
      </c>
      <c r="AH174" s="38" t="s">
        <v>217</v>
      </c>
      <c r="AI174" s="38" t="s">
        <v>217</v>
      </c>
    </row>
    <row r="175" customFormat="false" ht="57.75" hidden="false" customHeight="true" outlineLevel="0" collapsed="false">
      <c r="A175" s="39" t="n">
        <v>174</v>
      </c>
      <c r="B175" s="40" t="s">
        <v>199</v>
      </c>
      <c r="C175" s="39" t="s">
        <v>200</v>
      </c>
      <c r="D175" s="39" t="s">
        <v>201</v>
      </c>
      <c r="E175" s="41" t="s">
        <v>1349</v>
      </c>
      <c r="F175" s="39" t="s">
        <v>1350</v>
      </c>
      <c r="G175" s="39" t="s">
        <v>1351</v>
      </c>
      <c r="H175" s="39" t="s">
        <v>205</v>
      </c>
      <c r="I175" s="39" t="s">
        <v>1352</v>
      </c>
      <c r="J175" s="39"/>
      <c r="K175" s="42"/>
      <c r="L175" s="42"/>
      <c r="M175" s="39" t="s">
        <v>222</v>
      </c>
      <c r="N175" s="36" t="s">
        <v>106</v>
      </c>
      <c r="O175" s="39"/>
      <c r="P175" s="39"/>
      <c r="Q175" s="36" t="s">
        <v>1353</v>
      </c>
      <c r="R175" s="39"/>
      <c r="S175" s="39"/>
      <c r="T175" s="36" t="s">
        <v>644</v>
      </c>
      <c r="U175" s="39"/>
      <c r="V175" s="39"/>
      <c r="W175" s="39" t="s">
        <v>656</v>
      </c>
      <c r="X175" s="39"/>
      <c r="Y175" s="39"/>
      <c r="Z175" s="39" t="s">
        <v>1354</v>
      </c>
      <c r="AA175" s="37" t="s">
        <v>216</v>
      </c>
      <c r="AB175" s="38" t="s">
        <v>217</v>
      </c>
      <c r="AC175" s="38" t="s">
        <v>217</v>
      </c>
      <c r="AD175" s="37" t="s">
        <v>216</v>
      </c>
      <c r="AE175" s="38" t="s">
        <v>217</v>
      </c>
      <c r="AF175" s="38" t="s">
        <v>217</v>
      </c>
      <c r="AG175" s="37" t="s">
        <v>216</v>
      </c>
      <c r="AH175" s="38" t="s">
        <v>217</v>
      </c>
      <c r="AI175" s="38" t="s">
        <v>217</v>
      </c>
    </row>
    <row r="176" customFormat="false" ht="57.75" hidden="false" customHeight="true" outlineLevel="0" collapsed="false">
      <c r="A176" s="32" t="n">
        <v>175</v>
      </c>
      <c r="B176" s="34" t="s">
        <v>199</v>
      </c>
      <c r="C176" s="32" t="s">
        <v>200</v>
      </c>
      <c r="D176" s="32" t="s">
        <v>201</v>
      </c>
      <c r="E176" s="31" t="s">
        <v>1355</v>
      </c>
      <c r="F176" s="32"/>
      <c r="G176" s="32"/>
      <c r="H176" s="32"/>
      <c r="I176" s="32"/>
      <c r="J176" s="32" t="s">
        <v>1356</v>
      </c>
      <c r="K176" s="35" t="n">
        <v>3500</v>
      </c>
      <c r="L176" s="35" t="n">
        <v>3950</v>
      </c>
      <c r="M176" s="32" t="s">
        <v>217</v>
      </c>
      <c r="N176" s="32"/>
      <c r="O176" s="32"/>
      <c r="P176" s="32"/>
      <c r="Q176" s="32"/>
      <c r="R176" s="32"/>
      <c r="S176" s="32"/>
      <c r="T176" s="32"/>
      <c r="U176" s="32"/>
      <c r="V176" s="32"/>
      <c r="W176" s="32"/>
      <c r="X176" s="32"/>
      <c r="Y176" s="32"/>
      <c r="Z176" s="32"/>
      <c r="AA176" s="38" t="s">
        <v>217</v>
      </c>
      <c r="AB176" s="38" t="s">
        <v>217</v>
      </c>
      <c r="AC176" s="38" t="s">
        <v>217</v>
      </c>
      <c r="AD176" s="38" t="s">
        <v>217</v>
      </c>
      <c r="AE176" s="38" t="s">
        <v>217</v>
      </c>
      <c r="AF176" s="38" t="s">
        <v>217</v>
      </c>
      <c r="AG176" s="38" t="s">
        <v>217</v>
      </c>
      <c r="AH176" s="38" t="s">
        <v>217</v>
      </c>
      <c r="AI176" s="38" t="s">
        <v>217</v>
      </c>
    </row>
    <row r="177" customFormat="false" ht="57.75" hidden="false" customHeight="true" outlineLevel="0" collapsed="false">
      <c r="A177" s="39" t="n">
        <v>176</v>
      </c>
      <c r="B177" s="40" t="s">
        <v>199</v>
      </c>
      <c r="C177" s="39" t="s">
        <v>200</v>
      </c>
      <c r="D177" s="39" t="s">
        <v>201</v>
      </c>
      <c r="E177" s="41" t="s">
        <v>1357</v>
      </c>
      <c r="F177" s="39"/>
      <c r="G177" s="39"/>
      <c r="H177" s="39"/>
      <c r="I177" s="39" t="s">
        <v>817</v>
      </c>
      <c r="J177" s="39" t="s">
        <v>1358</v>
      </c>
      <c r="K177" s="42" t="n">
        <v>6900</v>
      </c>
      <c r="L177" s="42" t="n">
        <v>6900</v>
      </c>
      <c r="M177" s="39" t="s">
        <v>217</v>
      </c>
      <c r="N177" s="39"/>
      <c r="O177" s="39"/>
      <c r="P177" s="39"/>
      <c r="Q177" s="39"/>
      <c r="R177" s="39"/>
      <c r="S177" s="39"/>
      <c r="T177" s="39"/>
      <c r="U177" s="39"/>
      <c r="V177" s="39"/>
      <c r="W177" s="39"/>
      <c r="X177" s="39"/>
      <c r="Y177" s="39"/>
      <c r="Z177" s="39"/>
      <c r="AA177" s="38" t="s">
        <v>217</v>
      </c>
      <c r="AB177" s="38" t="s">
        <v>217</v>
      </c>
      <c r="AC177" s="38" t="s">
        <v>217</v>
      </c>
      <c r="AD177" s="38" t="s">
        <v>217</v>
      </c>
      <c r="AE177" s="38" t="s">
        <v>217</v>
      </c>
      <c r="AF177" s="38" t="s">
        <v>217</v>
      </c>
      <c r="AG177" s="38" t="s">
        <v>217</v>
      </c>
      <c r="AH177" s="38" t="s">
        <v>217</v>
      </c>
      <c r="AI177" s="38" t="s">
        <v>217</v>
      </c>
    </row>
    <row r="178" customFormat="false" ht="57.75" hidden="false" customHeight="true" outlineLevel="0" collapsed="false">
      <c r="A178" s="32" t="n">
        <v>177</v>
      </c>
      <c r="B178" s="34" t="s">
        <v>199</v>
      </c>
      <c r="C178" s="32" t="s">
        <v>200</v>
      </c>
      <c r="D178" s="32" t="s">
        <v>201</v>
      </c>
      <c r="E178" s="31" t="s">
        <v>1359</v>
      </c>
      <c r="F178" s="32" t="s">
        <v>232</v>
      </c>
      <c r="G178" s="32" t="s">
        <v>1360</v>
      </c>
      <c r="H178" s="32" t="s">
        <v>939</v>
      </c>
      <c r="I178" s="32" t="s">
        <v>1361</v>
      </c>
      <c r="J178" s="32" t="s">
        <v>1362</v>
      </c>
      <c r="K178" s="35"/>
      <c r="L178" s="35"/>
      <c r="M178" s="32" t="s">
        <v>208</v>
      </c>
      <c r="N178" s="36" t="s">
        <v>106</v>
      </c>
      <c r="O178" s="32"/>
      <c r="P178" s="32"/>
      <c r="Q178" s="36" t="s">
        <v>517</v>
      </c>
      <c r="R178" s="32"/>
      <c r="S178" s="36" t="s">
        <v>322</v>
      </c>
      <c r="T178" s="36" t="s">
        <v>755</v>
      </c>
      <c r="U178" s="36" t="s">
        <v>803</v>
      </c>
      <c r="V178" s="32"/>
      <c r="W178" s="32" t="s">
        <v>1363</v>
      </c>
      <c r="X178" s="32"/>
      <c r="Y178" s="32"/>
      <c r="Z178" s="32" t="s">
        <v>1364</v>
      </c>
      <c r="AA178" s="37" t="s">
        <v>216</v>
      </c>
      <c r="AB178" s="38" t="s">
        <v>217</v>
      </c>
      <c r="AC178" s="38" t="s">
        <v>217</v>
      </c>
      <c r="AD178" s="37" t="s">
        <v>216</v>
      </c>
      <c r="AE178" s="38" t="s">
        <v>217</v>
      </c>
      <c r="AF178" s="37" t="s">
        <v>216</v>
      </c>
      <c r="AG178" s="37" t="s">
        <v>216</v>
      </c>
      <c r="AH178" s="37" t="s">
        <v>216</v>
      </c>
      <c r="AI178" s="38" t="s">
        <v>217</v>
      </c>
    </row>
    <row r="179" customFormat="false" ht="57.75" hidden="false" customHeight="true" outlineLevel="0" collapsed="false">
      <c r="A179" s="39" t="n">
        <v>178</v>
      </c>
      <c r="B179" s="40" t="s">
        <v>199</v>
      </c>
      <c r="C179" s="39" t="s">
        <v>200</v>
      </c>
      <c r="D179" s="39" t="s">
        <v>201</v>
      </c>
      <c r="E179" s="41" t="s">
        <v>1365</v>
      </c>
      <c r="F179" s="39" t="s">
        <v>1366</v>
      </c>
      <c r="G179" s="39" t="s">
        <v>1367</v>
      </c>
      <c r="H179" s="39" t="s">
        <v>349</v>
      </c>
      <c r="I179" s="39" t="s">
        <v>861</v>
      </c>
      <c r="J179" s="39"/>
      <c r="K179" s="42"/>
      <c r="L179" s="42"/>
      <c r="M179" s="39" t="s">
        <v>217</v>
      </c>
      <c r="N179" s="39"/>
      <c r="O179" s="39"/>
      <c r="P179" s="39"/>
      <c r="Q179" s="39"/>
      <c r="R179" s="39"/>
      <c r="S179" s="39"/>
      <c r="T179" s="39"/>
      <c r="U179" s="39"/>
      <c r="V179" s="39"/>
      <c r="W179" s="39" t="s">
        <v>302</v>
      </c>
      <c r="X179" s="39"/>
      <c r="Y179" s="39"/>
      <c r="Z179" s="39" t="s">
        <v>1314</v>
      </c>
      <c r="AA179" s="38" t="s">
        <v>217</v>
      </c>
      <c r="AB179" s="38" t="s">
        <v>217</v>
      </c>
      <c r="AC179" s="38" t="s">
        <v>217</v>
      </c>
      <c r="AD179" s="38" t="s">
        <v>217</v>
      </c>
      <c r="AE179" s="38" t="s">
        <v>217</v>
      </c>
      <c r="AF179" s="38" t="s">
        <v>217</v>
      </c>
      <c r="AG179" s="38" t="s">
        <v>217</v>
      </c>
      <c r="AH179" s="38" t="s">
        <v>217</v>
      </c>
      <c r="AI179" s="38" t="s">
        <v>217</v>
      </c>
    </row>
    <row r="180" customFormat="false" ht="57.75" hidden="false" customHeight="true" outlineLevel="0" collapsed="false">
      <c r="A180" s="32" t="n">
        <v>179</v>
      </c>
      <c r="B180" s="34" t="s">
        <v>199</v>
      </c>
      <c r="C180" s="32" t="s">
        <v>200</v>
      </c>
      <c r="D180" s="32" t="s">
        <v>201</v>
      </c>
      <c r="E180" s="31" t="s">
        <v>1368</v>
      </c>
      <c r="F180" s="32" t="s">
        <v>859</v>
      </c>
      <c r="G180" s="32" t="s">
        <v>1369</v>
      </c>
      <c r="H180" s="32" t="s">
        <v>642</v>
      </c>
      <c r="I180" s="32" t="s">
        <v>1370</v>
      </c>
      <c r="J180" s="32"/>
      <c r="K180" s="35"/>
      <c r="L180" s="35"/>
      <c r="M180" s="32" t="s">
        <v>208</v>
      </c>
      <c r="N180" s="32"/>
      <c r="O180" s="32"/>
      <c r="P180" s="32"/>
      <c r="Q180" s="32"/>
      <c r="R180" s="32"/>
      <c r="S180" s="36" t="s">
        <v>212</v>
      </c>
      <c r="T180" s="36" t="s">
        <v>755</v>
      </c>
      <c r="U180" s="36" t="s">
        <v>1371</v>
      </c>
      <c r="V180" s="32"/>
      <c r="W180" s="32" t="s">
        <v>1372</v>
      </c>
      <c r="X180" s="32"/>
      <c r="Y180" s="32"/>
      <c r="Z180" s="32" t="s">
        <v>242</v>
      </c>
      <c r="AA180" s="38" t="s">
        <v>217</v>
      </c>
      <c r="AB180" s="38" t="s">
        <v>217</v>
      </c>
      <c r="AC180" s="38" t="s">
        <v>217</v>
      </c>
      <c r="AD180" s="38" t="s">
        <v>217</v>
      </c>
      <c r="AE180" s="38" t="s">
        <v>217</v>
      </c>
      <c r="AF180" s="37" t="s">
        <v>216</v>
      </c>
      <c r="AG180" s="37" t="s">
        <v>216</v>
      </c>
      <c r="AH180" s="37" t="s">
        <v>216</v>
      </c>
      <c r="AI180" s="38" t="s">
        <v>217</v>
      </c>
    </row>
    <row r="181" customFormat="false" ht="57.75" hidden="false" customHeight="true" outlineLevel="0" collapsed="false">
      <c r="A181" s="39" t="n">
        <v>180</v>
      </c>
      <c r="B181" s="40" t="s">
        <v>199</v>
      </c>
      <c r="C181" s="39" t="s">
        <v>200</v>
      </c>
      <c r="D181" s="39" t="s">
        <v>201</v>
      </c>
      <c r="E181" s="41" t="s">
        <v>1373</v>
      </c>
      <c r="F181" s="39" t="s">
        <v>1374</v>
      </c>
      <c r="G181" s="39" t="s">
        <v>1142</v>
      </c>
      <c r="H181" s="39" t="s">
        <v>939</v>
      </c>
      <c r="I181" s="39" t="s">
        <v>684</v>
      </c>
      <c r="J181" s="39"/>
      <c r="K181" s="42"/>
      <c r="L181" s="42"/>
      <c r="M181" s="39" t="s">
        <v>208</v>
      </c>
      <c r="N181" s="39"/>
      <c r="O181" s="39"/>
      <c r="P181" s="39"/>
      <c r="Q181" s="39"/>
      <c r="R181" s="39"/>
      <c r="S181" s="36" t="s">
        <v>322</v>
      </c>
      <c r="T181" s="36" t="s">
        <v>755</v>
      </c>
      <c r="U181" s="36" t="s">
        <v>1375</v>
      </c>
      <c r="V181" s="39"/>
      <c r="W181" s="39" t="s">
        <v>1376</v>
      </c>
      <c r="X181" s="39"/>
      <c r="Y181" s="39"/>
      <c r="Z181" s="39" t="s">
        <v>1377</v>
      </c>
      <c r="AA181" s="38" t="s">
        <v>217</v>
      </c>
      <c r="AB181" s="38" t="s">
        <v>217</v>
      </c>
      <c r="AC181" s="38" t="s">
        <v>217</v>
      </c>
      <c r="AD181" s="38" t="s">
        <v>217</v>
      </c>
      <c r="AE181" s="38" t="s">
        <v>217</v>
      </c>
      <c r="AF181" s="37" t="s">
        <v>216</v>
      </c>
      <c r="AG181" s="37" t="s">
        <v>216</v>
      </c>
      <c r="AH181" s="37" t="s">
        <v>216</v>
      </c>
      <c r="AI181" s="38" t="s">
        <v>217</v>
      </c>
    </row>
    <row r="182" customFormat="false" ht="57.75" hidden="false" customHeight="true" outlineLevel="0" collapsed="false">
      <c r="A182" s="32" t="n">
        <v>181</v>
      </c>
      <c r="B182" s="34" t="s">
        <v>199</v>
      </c>
      <c r="C182" s="32" t="s">
        <v>200</v>
      </c>
      <c r="D182" s="32" t="s">
        <v>201</v>
      </c>
      <c r="E182" s="31" t="s">
        <v>1378</v>
      </c>
      <c r="F182" s="32" t="s">
        <v>1379</v>
      </c>
      <c r="G182" s="32" t="s">
        <v>377</v>
      </c>
      <c r="H182" s="32" t="s">
        <v>642</v>
      </c>
      <c r="I182" s="32" t="s">
        <v>1380</v>
      </c>
      <c r="J182" s="32"/>
      <c r="K182" s="35"/>
      <c r="L182" s="35"/>
      <c r="M182" s="32" t="s">
        <v>208</v>
      </c>
      <c r="N182" s="32"/>
      <c r="O182" s="32"/>
      <c r="P182" s="32"/>
      <c r="Q182" s="32"/>
      <c r="R182" s="32"/>
      <c r="S182" s="32"/>
      <c r="T182" s="32"/>
      <c r="U182" s="32"/>
      <c r="V182" s="32"/>
      <c r="W182" s="32" t="s">
        <v>1381</v>
      </c>
      <c r="X182" s="32"/>
      <c r="Y182" s="32"/>
      <c r="Z182" s="32" t="s">
        <v>1382</v>
      </c>
      <c r="AA182" s="38" t="s">
        <v>217</v>
      </c>
      <c r="AB182" s="38" t="s">
        <v>217</v>
      </c>
      <c r="AC182" s="38" t="s">
        <v>217</v>
      </c>
      <c r="AD182" s="38" t="s">
        <v>217</v>
      </c>
      <c r="AE182" s="38" t="s">
        <v>217</v>
      </c>
      <c r="AF182" s="38" t="s">
        <v>217</v>
      </c>
      <c r="AG182" s="38" t="s">
        <v>217</v>
      </c>
      <c r="AH182" s="38" t="s">
        <v>217</v>
      </c>
      <c r="AI182" s="38" t="s">
        <v>217</v>
      </c>
    </row>
    <row r="183" customFormat="false" ht="57.75" hidden="false" customHeight="true" outlineLevel="0" collapsed="false">
      <c r="A183" s="39" t="n">
        <v>182</v>
      </c>
      <c r="B183" s="40" t="s">
        <v>199</v>
      </c>
      <c r="C183" s="39" t="s">
        <v>200</v>
      </c>
      <c r="D183" s="39" t="s">
        <v>201</v>
      </c>
      <c r="E183" s="41" t="s">
        <v>1383</v>
      </c>
      <c r="F183" s="39" t="s">
        <v>1384</v>
      </c>
      <c r="G183" s="39" t="s">
        <v>1385</v>
      </c>
      <c r="H183" s="39" t="s">
        <v>349</v>
      </c>
      <c r="I183" s="39" t="s">
        <v>1386</v>
      </c>
      <c r="J183" s="39"/>
      <c r="K183" s="42"/>
      <c r="L183" s="42"/>
      <c r="M183" s="39" t="s">
        <v>217</v>
      </c>
      <c r="N183" s="39"/>
      <c r="O183" s="39"/>
      <c r="P183" s="39"/>
      <c r="Q183" s="39"/>
      <c r="R183" s="39"/>
      <c r="S183" s="39"/>
      <c r="T183" s="39"/>
      <c r="U183" s="39"/>
      <c r="V183" s="39"/>
      <c r="W183" s="39"/>
      <c r="X183" s="39" t="s">
        <v>746</v>
      </c>
      <c r="Y183" s="39"/>
      <c r="Z183" s="39" t="s">
        <v>1165</v>
      </c>
      <c r="AA183" s="38" t="s">
        <v>217</v>
      </c>
      <c r="AB183" s="38" t="s">
        <v>217</v>
      </c>
      <c r="AC183" s="38" t="s">
        <v>217</v>
      </c>
      <c r="AD183" s="38" t="s">
        <v>217</v>
      </c>
      <c r="AE183" s="38" t="s">
        <v>217</v>
      </c>
      <c r="AF183" s="38" t="s">
        <v>217</v>
      </c>
      <c r="AG183" s="38" t="s">
        <v>217</v>
      </c>
      <c r="AH183" s="38" t="s">
        <v>217</v>
      </c>
      <c r="AI183" s="38" t="s">
        <v>217</v>
      </c>
    </row>
    <row r="184" customFormat="false" ht="57.75" hidden="false" customHeight="true" outlineLevel="0" collapsed="false">
      <c r="A184" s="32" t="n">
        <v>183</v>
      </c>
      <c r="B184" s="34" t="s">
        <v>199</v>
      </c>
      <c r="C184" s="32" t="s">
        <v>200</v>
      </c>
      <c r="D184" s="32" t="s">
        <v>201</v>
      </c>
      <c r="E184" s="31" t="s">
        <v>1387</v>
      </c>
      <c r="F184" s="32" t="s">
        <v>1388</v>
      </c>
      <c r="G184" s="32" t="s">
        <v>1385</v>
      </c>
      <c r="H184" s="32" t="s">
        <v>642</v>
      </c>
      <c r="I184" s="32" t="s">
        <v>1389</v>
      </c>
      <c r="J184" s="32"/>
      <c r="K184" s="35"/>
      <c r="L184" s="35"/>
      <c r="M184" s="32" t="s">
        <v>208</v>
      </c>
      <c r="N184" s="36" t="s">
        <v>106</v>
      </c>
      <c r="O184" s="32"/>
      <c r="P184" s="32"/>
      <c r="Q184" s="32"/>
      <c r="R184" s="32"/>
      <c r="S184" s="36" t="s">
        <v>1390</v>
      </c>
      <c r="T184" s="36" t="s">
        <v>755</v>
      </c>
      <c r="U184" s="32"/>
      <c r="V184" s="32"/>
      <c r="W184" s="32" t="s">
        <v>1391</v>
      </c>
      <c r="X184" s="32"/>
      <c r="Y184" s="32"/>
      <c r="Z184" s="32" t="s">
        <v>490</v>
      </c>
      <c r="AA184" s="37" t="s">
        <v>216</v>
      </c>
      <c r="AB184" s="38" t="s">
        <v>217</v>
      </c>
      <c r="AC184" s="38" t="s">
        <v>217</v>
      </c>
      <c r="AD184" s="38" t="s">
        <v>217</v>
      </c>
      <c r="AE184" s="38" t="s">
        <v>217</v>
      </c>
      <c r="AF184" s="37" t="s">
        <v>216</v>
      </c>
      <c r="AG184" s="37" t="s">
        <v>216</v>
      </c>
      <c r="AH184" s="38" t="s">
        <v>217</v>
      </c>
      <c r="AI184" s="38" t="s">
        <v>217</v>
      </c>
    </row>
    <row r="185" customFormat="false" ht="57.75" hidden="false" customHeight="true" outlineLevel="0" collapsed="false">
      <c r="A185" s="39" t="n">
        <v>184</v>
      </c>
      <c r="B185" s="40" t="s">
        <v>199</v>
      </c>
      <c r="C185" s="39" t="s">
        <v>200</v>
      </c>
      <c r="D185" s="39" t="s">
        <v>201</v>
      </c>
      <c r="E185" s="41" t="s">
        <v>1392</v>
      </c>
      <c r="F185" s="39" t="s">
        <v>1393</v>
      </c>
      <c r="G185" s="39" t="s">
        <v>1394</v>
      </c>
      <c r="H185" s="39" t="s">
        <v>205</v>
      </c>
      <c r="I185" s="39" t="s">
        <v>817</v>
      </c>
      <c r="J185" s="39"/>
      <c r="K185" s="42"/>
      <c r="L185" s="42"/>
      <c r="M185" s="39" t="s">
        <v>222</v>
      </c>
      <c r="N185" s="39"/>
      <c r="O185" s="36" t="s">
        <v>1395</v>
      </c>
      <c r="P185" s="39"/>
      <c r="Q185" s="39"/>
      <c r="R185" s="39"/>
      <c r="S185" s="39"/>
      <c r="T185" s="36" t="s">
        <v>755</v>
      </c>
      <c r="U185" s="36" t="s">
        <v>1396</v>
      </c>
      <c r="V185" s="39"/>
      <c r="W185" s="39" t="s">
        <v>1397</v>
      </c>
      <c r="X185" s="39"/>
      <c r="Y185" s="39"/>
      <c r="Z185" s="39" t="s">
        <v>1398</v>
      </c>
      <c r="AA185" s="38" t="s">
        <v>217</v>
      </c>
      <c r="AB185" s="37" t="s">
        <v>216</v>
      </c>
      <c r="AC185" s="38" t="s">
        <v>217</v>
      </c>
      <c r="AD185" s="38" t="s">
        <v>217</v>
      </c>
      <c r="AE185" s="38" t="s">
        <v>217</v>
      </c>
      <c r="AF185" s="38" t="s">
        <v>217</v>
      </c>
      <c r="AG185" s="37" t="s">
        <v>216</v>
      </c>
      <c r="AH185" s="37" t="s">
        <v>216</v>
      </c>
      <c r="AI185" s="38" t="s">
        <v>217</v>
      </c>
    </row>
    <row r="186" customFormat="false" ht="57.75" hidden="false" customHeight="true" outlineLevel="0" collapsed="false">
      <c r="A186" s="32" t="n">
        <v>185</v>
      </c>
      <c r="B186" s="34" t="s">
        <v>199</v>
      </c>
      <c r="C186" s="32" t="s">
        <v>200</v>
      </c>
      <c r="D186" s="32" t="s">
        <v>201</v>
      </c>
      <c r="E186" s="31" t="s">
        <v>1399</v>
      </c>
      <c r="F186" s="32" t="s">
        <v>366</v>
      </c>
      <c r="G186" s="32" t="s">
        <v>1400</v>
      </c>
      <c r="H186" s="32" t="s">
        <v>349</v>
      </c>
      <c r="I186" s="32" t="s">
        <v>1401</v>
      </c>
      <c r="J186" s="32"/>
      <c r="K186" s="35"/>
      <c r="L186" s="35"/>
      <c r="M186" s="32" t="s">
        <v>217</v>
      </c>
      <c r="N186" s="32"/>
      <c r="O186" s="32"/>
      <c r="P186" s="32"/>
      <c r="Q186" s="32"/>
      <c r="R186" s="32"/>
      <c r="S186" s="32"/>
      <c r="T186" s="36" t="s">
        <v>755</v>
      </c>
      <c r="U186" s="32"/>
      <c r="V186" s="32"/>
      <c r="W186" s="32" t="s">
        <v>1402</v>
      </c>
      <c r="X186" s="32"/>
      <c r="Y186" s="32"/>
      <c r="Z186" s="32" t="s">
        <v>1314</v>
      </c>
      <c r="AA186" s="38" t="s">
        <v>217</v>
      </c>
      <c r="AB186" s="38" t="s">
        <v>217</v>
      </c>
      <c r="AC186" s="38" t="s">
        <v>217</v>
      </c>
      <c r="AD186" s="38" t="s">
        <v>217</v>
      </c>
      <c r="AE186" s="38" t="s">
        <v>217</v>
      </c>
      <c r="AF186" s="38" t="s">
        <v>217</v>
      </c>
      <c r="AG186" s="37" t="s">
        <v>216</v>
      </c>
      <c r="AH186" s="38" t="s">
        <v>217</v>
      </c>
      <c r="AI186" s="38" t="s">
        <v>217</v>
      </c>
    </row>
    <row r="187" customFormat="false" ht="57.75" hidden="false" customHeight="true" outlineLevel="0" collapsed="false">
      <c r="A187" s="39" t="n">
        <v>186</v>
      </c>
      <c r="B187" s="40" t="s">
        <v>199</v>
      </c>
      <c r="C187" s="39" t="s">
        <v>200</v>
      </c>
      <c r="D187" s="39" t="s">
        <v>201</v>
      </c>
      <c r="E187" s="41" t="s">
        <v>1403</v>
      </c>
      <c r="F187" s="39" t="s">
        <v>1404</v>
      </c>
      <c r="G187" s="39" t="s">
        <v>1405</v>
      </c>
      <c r="H187" s="39" t="s">
        <v>205</v>
      </c>
      <c r="I187" s="39" t="s">
        <v>1406</v>
      </c>
      <c r="J187" s="39"/>
      <c r="K187" s="42"/>
      <c r="L187" s="42"/>
      <c r="M187" s="39" t="s">
        <v>222</v>
      </c>
      <c r="N187" s="39"/>
      <c r="O187" s="39"/>
      <c r="P187" s="36" t="s">
        <v>1407</v>
      </c>
      <c r="Q187" s="36" t="s">
        <v>1408</v>
      </c>
      <c r="R187" s="36" t="s">
        <v>1409</v>
      </c>
      <c r="S187" s="36" t="s">
        <v>1410</v>
      </c>
      <c r="T187" s="36" t="s">
        <v>755</v>
      </c>
      <c r="U187" s="36" t="s">
        <v>1411</v>
      </c>
      <c r="V187" s="39"/>
      <c r="W187" s="39" t="s">
        <v>302</v>
      </c>
      <c r="X187" s="39"/>
      <c r="Y187" s="39"/>
      <c r="Z187" s="39" t="s">
        <v>242</v>
      </c>
      <c r="AA187" s="38" t="s">
        <v>217</v>
      </c>
      <c r="AB187" s="38" t="s">
        <v>217</v>
      </c>
      <c r="AC187" s="37" t="s">
        <v>216</v>
      </c>
      <c r="AD187" s="37" t="s">
        <v>216</v>
      </c>
      <c r="AE187" s="37" t="s">
        <v>216</v>
      </c>
      <c r="AF187" s="37" t="s">
        <v>216</v>
      </c>
      <c r="AG187" s="37" t="s">
        <v>216</v>
      </c>
      <c r="AH187" s="37" t="s">
        <v>216</v>
      </c>
      <c r="AI187" s="38" t="s">
        <v>217</v>
      </c>
    </row>
    <row r="188" customFormat="false" ht="57.75" hidden="false" customHeight="true" outlineLevel="0" collapsed="false">
      <c r="A188" s="32" t="n">
        <v>187</v>
      </c>
      <c r="B188" s="34" t="s">
        <v>199</v>
      </c>
      <c r="C188" s="32" t="s">
        <v>200</v>
      </c>
      <c r="D188" s="32" t="s">
        <v>201</v>
      </c>
      <c r="E188" s="31" t="s">
        <v>1412</v>
      </c>
      <c r="F188" s="32" t="s">
        <v>1366</v>
      </c>
      <c r="G188" s="32" t="s">
        <v>1413</v>
      </c>
      <c r="H188" s="32" t="s">
        <v>349</v>
      </c>
      <c r="I188" s="32" t="s">
        <v>768</v>
      </c>
      <c r="J188" s="32"/>
      <c r="K188" s="35"/>
      <c r="L188" s="35"/>
      <c r="M188" s="32" t="s">
        <v>217</v>
      </c>
      <c r="N188" s="32"/>
      <c r="O188" s="32"/>
      <c r="P188" s="32"/>
      <c r="Q188" s="32"/>
      <c r="R188" s="32"/>
      <c r="S188" s="32"/>
      <c r="T188" s="32"/>
      <c r="U188" s="32"/>
      <c r="V188" s="32"/>
      <c r="W188" s="32" t="s">
        <v>302</v>
      </c>
      <c r="X188" s="32"/>
      <c r="Y188" s="32"/>
      <c r="Z188" s="32" t="s">
        <v>443</v>
      </c>
      <c r="AA188" s="38" t="s">
        <v>217</v>
      </c>
      <c r="AB188" s="38" t="s">
        <v>217</v>
      </c>
      <c r="AC188" s="38" t="s">
        <v>217</v>
      </c>
      <c r="AD188" s="38" t="s">
        <v>217</v>
      </c>
      <c r="AE188" s="38" t="s">
        <v>217</v>
      </c>
      <c r="AF188" s="38" t="s">
        <v>217</v>
      </c>
      <c r="AG188" s="38" t="s">
        <v>217</v>
      </c>
      <c r="AH188" s="38" t="s">
        <v>217</v>
      </c>
      <c r="AI188" s="38" t="s">
        <v>217</v>
      </c>
    </row>
    <row r="189" customFormat="false" ht="57.75" hidden="false" customHeight="true" outlineLevel="0" collapsed="false">
      <c r="A189" s="39" t="n">
        <v>188</v>
      </c>
      <c r="B189" s="40" t="s">
        <v>199</v>
      </c>
      <c r="C189" s="39" t="s">
        <v>200</v>
      </c>
      <c r="D189" s="39" t="s">
        <v>201</v>
      </c>
      <c r="E189" s="41" t="s">
        <v>1414</v>
      </c>
      <c r="F189" s="39" t="s">
        <v>366</v>
      </c>
      <c r="G189" s="39" t="s">
        <v>1415</v>
      </c>
      <c r="H189" s="39" t="s">
        <v>349</v>
      </c>
      <c r="I189" s="39" t="s">
        <v>508</v>
      </c>
      <c r="J189" s="39"/>
      <c r="K189" s="42"/>
      <c r="L189" s="42"/>
      <c r="M189" s="39" t="s">
        <v>217</v>
      </c>
      <c r="N189" s="39"/>
      <c r="O189" s="39"/>
      <c r="P189" s="39"/>
      <c r="Q189" s="39"/>
      <c r="R189" s="39"/>
      <c r="S189" s="39"/>
      <c r="T189" s="36" t="s">
        <v>755</v>
      </c>
      <c r="U189" s="39"/>
      <c r="V189" s="39"/>
      <c r="W189" s="39" t="s">
        <v>1402</v>
      </c>
      <c r="X189" s="39"/>
      <c r="Y189" s="39"/>
      <c r="Z189" s="39" t="s">
        <v>443</v>
      </c>
      <c r="AA189" s="38" t="s">
        <v>217</v>
      </c>
      <c r="AB189" s="38" t="s">
        <v>217</v>
      </c>
      <c r="AC189" s="38" t="s">
        <v>217</v>
      </c>
      <c r="AD189" s="38" t="s">
        <v>217</v>
      </c>
      <c r="AE189" s="38" t="s">
        <v>217</v>
      </c>
      <c r="AF189" s="38" t="s">
        <v>217</v>
      </c>
      <c r="AG189" s="37" t="s">
        <v>216</v>
      </c>
      <c r="AH189" s="38" t="s">
        <v>217</v>
      </c>
      <c r="AI189" s="38" t="s">
        <v>217</v>
      </c>
    </row>
    <row r="190" customFormat="false" ht="57.75" hidden="false" customHeight="true" outlineLevel="0" collapsed="false">
      <c r="A190" s="32" t="n">
        <v>189</v>
      </c>
      <c r="B190" s="34" t="s">
        <v>199</v>
      </c>
      <c r="C190" s="32" t="s">
        <v>200</v>
      </c>
      <c r="D190" s="32" t="s">
        <v>201</v>
      </c>
      <c r="E190" s="31" t="s">
        <v>1416</v>
      </c>
      <c r="F190" s="32" t="s">
        <v>1417</v>
      </c>
      <c r="G190" s="32" t="s">
        <v>1418</v>
      </c>
      <c r="H190" s="32" t="s">
        <v>642</v>
      </c>
      <c r="I190" s="32" t="s">
        <v>1419</v>
      </c>
      <c r="J190" s="32" t="s">
        <v>1420</v>
      </c>
      <c r="K190" s="35"/>
      <c r="L190" s="35"/>
      <c r="M190" s="32" t="s">
        <v>208</v>
      </c>
      <c r="N190" s="32"/>
      <c r="O190" s="36" t="s">
        <v>1421</v>
      </c>
      <c r="P190" s="32"/>
      <c r="Q190" s="32"/>
      <c r="R190" s="36" t="s">
        <v>1422</v>
      </c>
      <c r="S190" s="32"/>
      <c r="T190" s="36" t="s">
        <v>755</v>
      </c>
      <c r="U190" s="32"/>
      <c r="V190" s="32"/>
      <c r="W190" s="32" t="s">
        <v>1423</v>
      </c>
      <c r="X190" s="32"/>
      <c r="Y190" s="32"/>
      <c r="Z190" s="32" t="s">
        <v>1424</v>
      </c>
      <c r="AA190" s="38" t="s">
        <v>217</v>
      </c>
      <c r="AB190" s="37" t="s">
        <v>216</v>
      </c>
      <c r="AC190" s="38" t="s">
        <v>217</v>
      </c>
      <c r="AD190" s="38" t="s">
        <v>217</v>
      </c>
      <c r="AE190" s="37" t="s">
        <v>216</v>
      </c>
      <c r="AF190" s="38" t="s">
        <v>217</v>
      </c>
      <c r="AG190" s="37" t="s">
        <v>216</v>
      </c>
      <c r="AH190" s="38" t="s">
        <v>217</v>
      </c>
      <c r="AI190" s="38" t="s">
        <v>217</v>
      </c>
    </row>
    <row r="191" customFormat="false" ht="57.75" hidden="false" customHeight="true" outlineLevel="0" collapsed="false">
      <c r="A191" s="39" t="n">
        <v>190</v>
      </c>
      <c r="B191" s="40" t="s">
        <v>199</v>
      </c>
      <c r="C191" s="39" t="s">
        <v>200</v>
      </c>
      <c r="D191" s="39" t="s">
        <v>201</v>
      </c>
      <c r="E191" s="41" t="s">
        <v>1425</v>
      </c>
      <c r="F191" s="39" t="s">
        <v>1425</v>
      </c>
      <c r="G191" s="39" t="s">
        <v>544</v>
      </c>
      <c r="H191" s="39" t="s">
        <v>642</v>
      </c>
      <c r="I191" s="39" t="s">
        <v>595</v>
      </c>
      <c r="J191" s="39"/>
      <c r="K191" s="42"/>
      <c r="L191" s="42"/>
      <c r="M191" s="39" t="s">
        <v>208</v>
      </c>
      <c r="N191" s="39"/>
      <c r="O191" s="39"/>
      <c r="P191" s="39"/>
      <c r="Q191" s="39"/>
      <c r="R191" s="39"/>
      <c r="S191" s="39"/>
      <c r="T191" s="36" t="s">
        <v>755</v>
      </c>
      <c r="U191" s="36" t="s">
        <v>1426</v>
      </c>
      <c r="V191" s="39"/>
      <c r="W191" s="39" t="s">
        <v>1427</v>
      </c>
      <c r="X191" s="39"/>
      <c r="Y191" s="39"/>
      <c r="Z191" s="39" t="s">
        <v>1428</v>
      </c>
      <c r="AA191" s="38" t="s">
        <v>217</v>
      </c>
      <c r="AB191" s="38" t="s">
        <v>217</v>
      </c>
      <c r="AC191" s="38" t="s">
        <v>217</v>
      </c>
      <c r="AD191" s="38" t="s">
        <v>217</v>
      </c>
      <c r="AE191" s="38" t="s">
        <v>217</v>
      </c>
      <c r="AF191" s="38" t="s">
        <v>217</v>
      </c>
      <c r="AG191" s="37" t="s">
        <v>216</v>
      </c>
      <c r="AH191" s="37" t="s">
        <v>216</v>
      </c>
      <c r="AI191" s="38" t="s">
        <v>217</v>
      </c>
    </row>
    <row r="192" customFormat="false" ht="57.75" hidden="false" customHeight="true" outlineLevel="0" collapsed="false">
      <c r="A192" s="32" t="n">
        <v>191</v>
      </c>
      <c r="B192" s="34" t="s">
        <v>199</v>
      </c>
      <c r="C192" s="32" t="s">
        <v>200</v>
      </c>
      <c r="D192" s="32" t="s">
        <v>201</v>
      </c>
      <c r="E192" s="31" t="s">
        <v>1429</v>
      </c>
      <c r="F192" s="32" t="s">
        <v>1417</v>
      </c>
      <c r="G192" s="32" t="s">
        <v>1430</v>
      </c>
      <c r="H192" s="32" t="s">
        <v>642</v>
      </c>
      <c r="I192" s="32" t="s">
        <v>1431</v>
      </c>
      <c r="J192" s="32"/>
      <c r="K192" s="35"/>
      <c r="L192" s="35"/>
      <c r="M192" s="32" t="s">
        <v>208</v>
      </c>
      <c r="N192" s="32"/>
      <c r="O192" s="36" t="s">
        <v>1432</v>
      </c>
      <c r="P192" s="32"/>
      <c r="Q192" s="32"/>
      <c r="R192" s="36" t="s">
        <v>1432</v>
      </c>
      <c r="S192" s="32"/>
      <c r="T192" s="36" t="s">
        <v>755</v>
      </c>
      <c r="U192" s="32"/>
      <c r="V192" s="36" t="s">
        <v>1433</v>
      </c>
      <c r="W192" s="32" t="s">
        <v>1434</v>
      </c>
      <c r="X192" s="32"/>
      <c r="Y192" s="32"/>
      <c r="Z192" s="32" t="s">
        <v>490</v>
      </c>
      <c r="AA192" s="38" t="s">
        <v>217</v>
      </c>
      <c r="AB192" s="37" t="s">
        <v>216</v>
      </c>
      <c r="AC192" s="38" t="s">
        <v>217</v>
      </c>
      <c r="AD192" s="38" t="s">
        <v>217</v>
      </c>
      <c r="AE192" s="37" t="s">
        <v>216</v>
      </c>
      <c r="AF192" s="38" t="s">
        <v>217</v>
      </c>
      <c r="AG192" s="37" t="s">
        <v>216</v>
      </c>
      <c r="AH192" s="38" t="s">
        <v>217</v>
      </c>
      <c r="AI192" s="37" t="s">
        <v>216</v>
      </c>
    </row>
    <row r="193" customFormat="false" ht="57.75" hidden="false" customHeight="true" outlineLevel="0" collapsed="false">
      <c r="A193" s="39" t="n">
        <v>192</v>
      </c>
      <c r="B193" s="40" t="s">
        <v>199</v>
      </c>
      <c r="C193" s="39" t="s">
        <v>200</v>
      </c>
      <c r="D193" s="39" t="s">
        <v>201</v>
      </c>
      <c r="E193" s="41" t="s">
        <v>1435</v>
      </c>
      <c r="F193" s="39" t="s">
        <v>1435</v>
      </c>
      <c r="G193" s="39" t="s">
        <v>1436</v>
      </c>
      <c r="H193" s="39" t="s">
        <v>205</v>
      </c>
      <c r="I193" s="39" t="s">
        <v>529</v>
      </c>
      <c r="J193" s="39"/>
      <c r="K193" s="42"/>
      <c r="L193" s="42"/>
      <c r="M193" s="39" t="s">
        <v>222</v>
      </c>
      <c r="N193" s="39"/>
      <c r="O193" s="36" t="s">
        <v>1437</v>
      </c>
      <c r="P193" s="39"/>
      <c r="Q193" s="39"/>
      <c r="R193" s="43" t="s">
        <v>1438</v>
      </c>
      <c r="S193" s="36" t="s">
        <v>212</v>
      </c>
      <c r="T193" s="36" t="s">
        <v>755</v>
      </c>
      <c r="U193" s="39"/>
      <c r="V193" s="39"/>
      <c r="W193" s="39" t="s">
        <v>302</v>
      </c>
      <c r="X193" s="39"/>
      <c r="Y193" s="39"/>
      <c r="Z193" s="39" t="s">
        <v>1439</v>
      </c>
      <c r="AA193" s="38" t="s">
        <v>217</v>
      </c>
      <c r="AB193" s="37" t="s">
        <v>216</v>
      </c>
      <c r="AC193" s="38" t="s">
        <v>217</v>
      </c>
      <c r="AD193" s="38" t="s">
        <v>217</v>
      </c>
      <c r="AE193" s="44" t="s">
        <v>335</v>
      </c>
      <c r="AF193" s="37" t="s">
        <v>216</v>
      </c>
      <c r="AG193" s="37" t="s">
        <v>216</v>
      </c>
      <c r="AH193" s="38" t="s">
        <v>217</v>
      </c>
      <c r="AI193" s="38" t="s">
        <v>217</v>
      </c>
    </row>
    <row r="194" customFormat="false" ht="57.75" hidden="false" customHeight="true" outlineLevel="0" collapsed="false">
      <c r="A194" s="32" t="n">
        <v>193</v>
      </c>
      <c r="B194" s="34" t="s">
        <v>199</v>
      </c>
      <c r="C194" s="32" t="s">
        <v>200</v>
      </c>
      <c r="D194" s="32" t="s">
        <v>201</v>
      </c>
      <c r="E194" s="31" t="s">
        <v>1440</v>
      </c>
      <c r="F194" s="32" t="s">
        <v>1441</v>
      </c>
      <c r="G194" s="32" t="s">
        <v>1442</v>
      </c>
      <c r="H194" s="32" t="s">
        <v>1443</v>
      </c>
      <c r="I194" s="32" t="s">
        <v>720</v>
      </c>
      <c r="J194" s="32"/>
      <c r="K194" s="35"/>
      <c r="L194" s="35"/>
      <c r="M194" s="32" t="s">
        <v>217</v>
      </c>
      <c r="N194" s="32"/>
      <c r="O194" s="32"/>
      <c r="P194" s="32"/>
      <c r="Q194" s="32"/>
      <c r="R194" s="32"/>
      <c r="S194" s="32"/>
      <c r="T194" s="36" t="s">
        <v>755</v>
      </c>
      <c r="U194" s="32"/>
      <c r="V194" s="32"/>
      <c r="W194" s="32" t="s">
        <v>1444</v>
      </c>
      <c r="X194" s="32"/>
      <c r="Y194" s="32"/>
      <c r="Z194" s="32" t="s">
        <v>364</v>
      </c>
      <c r="AA194" s="38" t="s">
        <v>217</v>
      </c>
      <c r="AB194" s="38" t="s">
        <v>217</v>
      </c>
      <c r="AC194" s="38" t="s">
        <v>217</v>
      </c>
      <c r="AD194" s="38" t="s">
        <v>217</v>
      </c>
      <c r="AE194" s="38" t="s">
        <v>217</v>
      </c>
      <c r="AF194" s="38" t="s">
        <v>217</v>
      </c>
      <c r="AG194" s="37" t="s">
        <v>216</v>
      </c>
      <c r="AH194" s="38" t="s">
        <v>217</v>
      </c>
      <c r="AI194" s="38" t="s">
        <v>217</v>
      </c>
    </row>
    <row r="195" customFormat="false" ht="57.75" hidden="false" customHeight="true" outlineLevel="0" collapsed="false">
      <c r="A195" s="39" t="n">
        <v>194</v>
      </c>
      <c r="B195" s="40" t="s">
        <v>199</v>
      </c>
      <c r="C195" s="39" t="s">
        <v>200</v>
      </c>
      <c r="D195" s="39" t="s">
        <v>201</v>
      </c>
      <c r="E195" s="41" t="s">
        <v>1445</v>
      </c>
      <c r="F195" s="39" t="s">
        <v>1446</v>
      </c>
      <c r="G195" s="39" t="s">
        <v>1447</v>
      </c>
      <c r="H195" s="39" t="s">
        <v>642</v>
      </c>
      <c r="I195" s="39" t="s">
        <v>1448</v>
      </c>
      <c r="J195" s="39"/>
      <c r="K195" s="42"/>
      <c r="L195" s="42"/>
      <c r="M195" s="39" t="s">
        <v>208</v>
      </c>
      <c r="N195" s="39"/>
      <c r="O195" s="39"/>
      <c r="P195" s="36" t="s">
        <v>702</v>
      </c>
      <c r="Q195" s="36" t="s">
        <v>92</v>
      </c>
      <c r="R195" s="43" t="s">
        <v>1449</v>
      </c>
      <c r="S195" s="39"/>
      <c r="T195" s="39"/>
      <c r="U195" s="36" t="s">
        <v>1263</v>
      </c>
      <c r="V195" s="43" t="s">
        <v>1450</v>
      </c>
      <c r="W195" s="39" t="s">
        <v>1451</v>
      </c>
      <c r="X195" s="39"/>
      <c r="Y195" s="39"/>
      <c r="Z195" s="39" t="s">
        <v>1452</v>
      </c>
      <c r="AA195" s="38" t="s">
        <v>217</v>
      </c>
      <c r="AB195" s="38" t="s">
        <v>217</v>
      </c>
      <c r="AC195" s="37" t="s">
        <v>216</v>
      </c>
      <c r="AD195" s="37" t="s">
        <v>216</v>
      </c>
      <c r="AE195" s="44" t="s">
        <v>335</v>
      </c>
      <c r="AF195" s="38" t="s">
        <v>217</v>
      </c>
      <c r="AG195" s="38" t="s">
        <v>217</v>
      </c>
      <c r="AH195" s="37" t="s">
        <v>216</v>
      </c>
      <c r="AI195" s="44" t="s">
        <v>335</v>
      </c>
    </row>
    <row r="196" customFormat="false" ht="57.75" hidden="false" customHeight="true" outlineLevel="0" collapsed="false">
      <c r="A196" s="32" t="n">
        <v>195</v>
      </c>
      <c r="B196" s="34" t="s">
        <v>199</v>
      </c>
      <c r="C196" s="32" t="s">
        <v>200</v>
      </c>
      <c r="D196" s="32" t="s">
        <v>201</v>
      </c>
      <c r="E196" s="31" t="s">
        <v>1453</v>
      </c>
      <c r="F196" s="32" t="s">
        <v>1441</v>
      </c>
      <c r="G196" s="32" t="s">
        <v>1454</v>
      </c>
      <c r="H196" s="32" t="s">
        <v>1443</v>
      </c>
      <c r="I196" s="32" t="s">
        <v>817</v>
      </c>
      <c r="J196" s="32"/>
      <c r="K196" s="35"/>
      <c r="L196" s="35"/>
      <c r="M196" s="32" t="s">
        <v>217</v>
      </c>
      <c r="N196" s="32"/>
      <c r="O196" s="32"/>
      <c r="P196" s="32"/>
      <c r="Q196" s="32"/>
      <c r="R196" s="32"/>
      <c r="S196" s="36" t="s">
        <v>212</v>
      </c>
      <c r="T196" s="32"/>
      <c r="U196" s="32"/>
      <c r="V196" s="32"/>
      <c r="W196" s="32" t="s">
        <v>1455</v>
      </c>
      <c r="X196" s="32"/>
      <c r="Y196" s="32"/>
      <c r="Z196" s="32" t="s">
        <v>640</v>
      </c>
      <c r="AA196" s="38" t="s">
        <v>217</v>
      </c>
      <c r="AB196" s="38" t="s">
        <v>217</v>
      </c>
      <c r="AC196" s="38" t="s">
        <v>217</v>
      </c>
      <c r="AD196" s="38" t="s">
        <v>217</v>
      </c>
      <c r="AE196" s="38" t="s">
        <v>217</v>
      </c>
      <c r="AF196" s="37" t="s">
        <v>216</v>
      </c>
      <c r="AG196" s="38" t="s">
        <v>217</v>
      </c>
      <c r="AH196" s="38" t="s">
        <v>217</v>
      </c>
      <c r="AI196" s="38" t="s">
        <v>217</v>
      </c>
    </row>
    <row r="197" customFormat="false" ht="57.75" hidden="false" customHeight="true" outlineLevel="0" collapsed="false">
      <c r="A197" s="39" t="n">
        <v>196</v>
      </c>
      <c r="B197" s="40" t="s">
        <v>199</v>
      </c>
      <c r="C197" s="39" t="s">
        <v>200</v>
      </c>
      <c r="D197" s="39" t="s">
        <v>201</v>
      </c>
      <c r="E197" s="41" t="s">
        <v>1456</v>
      </c>
      <c r="F197" s="39" t="s">
        <v>1457</v>
      </c>
      <c r="G197" s="39" t="s">
        <v>1458</v>
      </c>
      <c r="H197" s="39" t="s">
        <v>1459</v>
      </c>
      <c r="I197" s="39" t="s">
        <v>1460</v>
      </c>
      <c r="J197" s="39"/>
      <c r="K197" s="42"/>
      <c r="L197" s="42"/>
      <c r="M197" s="39" t="s">
        <v>217</v>
      </c>
      <c r="N197" s="36" t="s">
        <v>106</v>
      </c>
      <c r="O197" s="36" t="s">
        <v>1461</v>
      </c>
      <c r="P197" s="39"/>
      <c r="Q197" s="36" t="s">
        <v>92</v>
      </c>
      <c r="R197" s="43" t="s">
        <v>1462</v>
      </c>
      <c r="S197" s="39"/>
      <c r="T197" s="39"/>
      <c r="U197" s="36" t="s">
        <v>1463</v>
      </c>
      <c r="V197" s="43" t="s">
        <v>1464</v>
      </c>
      <c r="W197" s="39" t="s">
        <v>1284</v>
      </c>
      <c r="X197" s="39"/>
      <c r="Y197" s="39"/>
      <c r="Z197" s="39" t="s">
        <v>463</v>
      </c>
      <c r="AA197" s="37" t="s">
        <v>216</v>
      </c>
      <c r="AB197" s="37" t="s">
        <v>216</v>
      </c>
      <c r="AC197" s="38" t="s">
        <v>217</v>
      </c>
      <c r="AD197" s="37" t="s">
        <v>216</v>
      </c>
      <c r="AE197" s="44" t="s">
        <v>335</v>
      </c>
      <c r="AF197" s="38" t="s">
        <v>217</v>
      </c>
      <c r="AG197" s="38" t="s">
        <v>217</v>
      </c>
      <c r="AH197" s="37" t="s">
        <v>216</v>
      </c>
      <c r="AI197" s="44" t="s">
        <v>335</v>
      </c>
    </row>
    <row r="198" customFormat="false" ht="57.75" hidden="false" customHeight="true" outlineLevel="0" collapsed="false">
      <c r="A198" s="32" t="n">
        <v>197</v>
      </c>
      <c r="B198" s="34" t="s">
        <v>199</v>
      </c>
      <c r="C198" s="32" t="s">
        <v>200</v>
      </c>
      <c r="D198" s="32" t="s">
        <v>201</v>
      </c>
      <c r="E198" s="31" t="s">
        <v>1465</v>
      </c>
      <c r="F198" s="32" t="s">
        <v>1466</v>
      </c>
      <c r="G198" s="32" t="s">
        <v>1467</v>
      </c>
      <c r="H198" s="32" t="s">
        <v>205</v>
      </c>
      <c r="I198" s="32" t="s">
        <v>1468</v>
      </c>
      <c r="J198" s="32"/>
      <c r="K198" s="35"/>
      <c r="L198" s="35"/>
      <c r="M198" s="32" t="s">
        <v>222</v>
      </c>
      <c r="N198" s="32"/>
      <c r="O198" s="36" t="s">
        <v>1469</v>
      </c>
      <c r="P198" s="36" t="s">
        <v>1470</v>
      </c>
      <c r="Q198" s="36" t="s">
        <v>247</v>
      </c>
      <c r="R198" s="43" t="s">
        <v>1471</v>
      </c>
      <c r="S198" s="36" t="s">
        <v>1472</v>
      </c>
      <c r="T198" s="36" t="s">
        <v>755</v>
      </c>
      <c r="U198" s="36" t="s">
        <v>1263</v>
      </c>
      <c r="V198" s="32"/>
      <c r="W198" s="32" t="s">
        <v>1473</v>
      </c>
      <c r="X198" s="32"/>
      <c r="Y198" s="32"/>
      <c r="Z198" s="32" t="s">
        <v>979</v>
      </c>
      <c r="AA198" s="38" t="s">
        <v>217</v>
      </c>
      <c r="AB198" s="37" t="s">
        <v>216</v>
      </c>
      <c r="AC198" s="37" t="s">
        <v>216</v>
      </c>
      <c r="AD198" s="37" t="s">
        <v>216</v>
      </c>
      <c r="AE198" s="44" t="s">
        <v>335</v>
      </c>
      <c r="AF198" s="37" t="s">
        <v>216</v>
      </c>
      <c r="AG198" s="37" t="s">
        <v>216</v>
      </c>
      <c r="AH198" s="37" t="s">
        <v>216</v>
      </c>
      <c r="AI198" s="38" t="s">
        <v>217</v>
      </c>
    </row>
    <row r="199" customFormat="false" ht="57.75" hidden="false" customHeight="true" outlineLevel="0" collapsed="false">
      <c r="A199" s="39" t="n">
        <v>198</v>
      </c>
      <c r="B199" s="40" t="s">
        <v>199</v>
      </c>
      <c r="C199" s="39" t="s">
        <v>200</v>
      </c>
      <c r="D199" s="39" t="s">
        <v>201</v>
      </c>
      <c r="E199" s="41" t="s">
        <v>1474</v>
      </c>
      <c r="F199" s="39" t="s">
        <v>1475</v>
      </c>
      <c r="G199" s="39" t="s">
        <v>1467</v>
      </c>
      <c r="H199" s="39" t="s">
        <v>349</v>
      </c>
      <c r="I199" s="39" t="s">
        <v>1476</v>
      </c>
      <c r="J199" s="39"/>
      <c r="K199" s="42"/>
      <c r="L199" s="42"/>
      <c r="M199" s="39" t="s">
        <v>217</v>
      </c>
      <c r="N199" s="39"/>
      <c r="O199" s="36" t="s">
        <v>1477</v>
      </c>
      <c r="P199" s="36" t="s">
        <v>1478</v>
      </c>
      <c r="Q199" s="43" t="s">
        <v>1479</v>
      </c>
      <c r="R199" s="36" t="s">
        <v>1480</v>
      </c>
      <c r="S199" s="39"/>
      <c r="T199" s="36" t="s">
        <v>755</v>
      </c>
      <c r="U199" s="39"/>
      <c r="V199" s="39"/>
      <c r="W199" s="39" t="s">
        <v>1481</v>
      </c>
      <c r="X199" s="39"/>
      <c r="Y199" s="39"/>
      <c r="Z199" s="39" t="s">
        <v>927</v>
      </c>
      <c r="AA199" s="38" t="s">
        <v>217</v>
      </c>
      <c r="AB199" s="37" t="s">
        <v>216</v>
      </c>
      <c r="AC199" s="37" t="s">
        <v>216</v>
      </c>
      <c r="AD199" s="44" t="s">
        <v>335</v>
      </c>
      <c r="AE199" s="37" t="s">
        <v>216</v>
      </c>
      <c r="AF199" s="38" t="s">
        <v>217</v>
      </c>
      <c r="AG199" s="37" t="s">
        <v>216</v>
      </c>
      <c r="AH199" s="38" t="s">
        <v>217</v>
      </c>
      <c r="AI199" s="38" t="s">
        <v>217</v>
      </c>
    </row>
    <row r="200" customFormat="false" ht="57.75" hidden="false" customHeight="true" outlineLevel="0" collapsed="false">
      <c r="A200" s="32" t="n">
        <v>199</v>
      </c>
      <c r="B200" s="34" t="s">
        <v>199</v>
      </c>
      <c r="C200" s="32" t="s">
        <v>200</v>
      </c>
      <c r="D200" s="32" t="s">
        <v>201</v>
      </c>
      <c r="E200" s="31" t="s">
        <v>1482</v>
      </c>
      <c r="F200" s="32" t="s">
        <v>1483</v>
      </c>
      <c r="G200" s="32" t="s">
        <v>1467</v>
      </c>
      <c r="H200" s="32" t="s">
        <v>642</v>
      </c>
      <c r="I200" s="32" t="s">
        <v>1484</v>
      </c>
      <c r="J200" s="32"/>
      <c r="K200" s="35"/>
      <c r="L200" s="35"/>
      <c r="M200" s="32" t="s">
        <v>208</v>
      </c>
      <c r="N200" s="32"/>
      <c r="O200" s="36" t="s">
        <v>1485</v>
      </c>
      <c r="P200" s="36" t="s">
        <v>1470</v>
      </c>
      <c r="Q200" s="32"/>
      <c r="R200" s="43" t="s">
        <v>1486</v>
      </c>
      <c r="S200" s="36" t="s">
        <v>1487</v>
      </c>
      <c r="T200" s="36" t="s">
        <v>755</v>
      </c>
      <c r="U200" s="32"/>
      <c r="V200" s="32"/>
      <c r="W200" s="32" t="s">
        <v>1488</v>
      </c>
      <c r="X200" s="32"/>
      <c r="Y200" s="32"/>
      <c r="Z200" s="32" t="s">
        <v>1489</v>
      </c>
      <c r="AA200" s="38" t="s">
        <v>217</v>
      </c>
      <c r="AB200" s="37" t="s">
        <v>216</v>
      </c>
      <c r="AC200" s="37" t="s">
        <v>216</v>
      </c>
      <c r="AD200" s="38" t="s">
        <v>217</v>
      </c>
      <c r="AE200" s="44" t="s">
        <v>335</v>
      </c>
      <c r="AF200" s="37" t="s">
        <v>216</v>
      </c>
      <c r="AG200" s="37" t="s">
        <v>216</v>
      </c>
      <c r="AH200" s="38" t="s">
        <v>217</v>
      </c>
      <c r="AI200" s="38" t="s">
        <v>217</v>
      </c>
    </row>
    <row r="201" customFormat="false" ht="57.75" hidden="false" customHeight="true" outlineLevel="0" collapsed="false">
      <c r="A201" s="39" t="n">
        <v>200</v>
      </c>
      <c r="B201" s="40" t="s">
        <v>199</v>
      </c>
      <c r="C201" s="39" t="s">
        <v>200</v>
      </c>
      <c r="D201" s="39" t="s">
        <v>201</v>
      </c>
      <c r="E201" s="41" t="s">
        <v>1490</v>
      </c>
      <c r="F201" s="39"/>
      <c r="G201" s="39" t="s">
        <v>1491</v>
      </c>
      <c r="H201" s="39" t="s">
        <v>642</v>
      </c>
      <c r="I201" s="39" t="s">
        <v>1492</v>
      </c>
      <c r="J201" s="39"/>
      <c r="K201" s="42"/>
      <c r="L201" s="42"/>
      <c r="M201" s="39" t="s">
        <v>208</v>
      </c>
      <c r="N201" s="36" t="s">
        <v>106</v>
      </c>
      <c r="O201" s="39"/>
      <c r="P201" s="36" t="s">
        <v>1493</v>
      </c>
      <c r="Q201" s="36" t="s">
        <v>1494</v>
      </c>
      <c r="R201" s="36" t="s">
        <v>1495</v>
      </c>
      <c r="S201" s="36" t="s">
        <v>1496</v>
      </c>
      <c r="T201" s="36" t="s">
        <v>755</v>
      </c>
      <c r="U201" s="43" t="s">
        <v>1497</v>
      </c>
      <c r="V201" s="39"/>
      <c r="W201" s="39" t="s">
        <v>1498</v>
      </c>
      <c r="X201" s="39"/>
      <c r="Y201" s="39"/>
      <c r="Z201" s="39" t="s">
        <v>541</v>
      </c>
      <c r="AA201" s="37" t="s">
        <v>216</v>
      </c>
      <c r="AB201" s="38" t="s">
        <v>217</v>
      </c>
      <c r="AC201" s="37" t="s">
        <v>216</v>
      </c>
      <c r="AD201" s="37" t="s">
        <v>216</v>
      </c>
      <c r="AE201" s="37" t="s">
        <v>216</v>
      </c>
      <c r="AF201" s="37" t="s">
        <v>216</v>
      </c>
      <c r="AG201" s="37" t="s">
        <v>216</v>
      </c>
      <c r="AH201" s="44" t="s">
        <v>335</v>
      </c>
      <c r="AI201" s="38" t="s">
        <v>217</v>
      </c>
    </row>
    <row r="202" customFormat="false" ht="57.75" hidden="false" customHeight="true" outlineLevel="0" collapsed="false">
      <c r="A202" s="32" t="n">
        <v>201</v>
      </c>
      <c r="B202" s="34" t="s">
        <v>199</v>
      </c>
      <c r="C202" s="32" t="s">
        <v>200</v>
      </c>
      <c r="D202" s="32" t="s">
        <v>201</v>
      </c>
      <c r="E202" s="31" t="s">
        <v>1499</v>
      </c>
      <c r="F202" s="32" t="s">
        <v>1483</v>
      </c>
      <c r="G202" s="32" t="s">
        <v>1500</v>
      </c>
      <c r="H202" s="32" t="s">
        <v>642</v>
      </c>
      <c r="I202" s="32" t="s">
        <v>1501</v>
      </c>
      <c r="J202" s="32"/>
      <c r="K202" s="35"/>
      <c r="L202" s="35"/>
      <c r="M202" s="32" t="s">
        <v>208</v>
      </c>
      <c r="N202" s="32"/>
      <c r="O202" s="36" t="s">
        <v>1502</v>
      </c>
      <c r="P202" s="36" t="s">
        <v>1470</v>
      </c>
      <c r="Q202" s="32"/>
      <c r="R202" s="36" t="s">
        <v>1503</v>
      </c>
      <c r="S202" s="32"/>
      <c r="T202" s="32"/>
      <c r="U202" s="32"/>
      <c r="V202" s="32"/>
      <c r="W202" s="32" t="s">
        <v>1504</v>
      </c>
      <c r="X202" s="32"/>
      <c r="Y202" s="32"/>
      <c r="Z202" s="32" t="s">
        <v>443</v>
      </c>
      <c r="AA202" s="38" t="s">
        <v>217</v>
      </c>
      <c r="AB202" s="37" t="s">
        <v>216</v>
      </c>
      <c r="AC202" s="37" t="s">
        <v>216</v>
      </c>
      <c r="AD202" s="38" t="s">
        <v>217</v>
      </c>
      <c r="AE202" s="37" t="s">
        <v>216</v>
      </c>
      <c r="AF202" s="38" t="s">
        <v>217</v>
      </c>
      <c r="AG202" s="38" t="s">
        <v>217</v>
      </c>
      <c r="AH202" s="38" t="s">
        <v>217</v>
      </c>
      <c r="AI202" s="38" t="s">
        <v>217</v>
      </c>
    </row>
    <row r="203" customFormat="false" ht="57.75" hidden="false" customHeight="true" outlineLevel="0" collapsed="false">
      <c r="A203" s="39" t="n">
        <v>202</v>
      </c>
      <c r="B203" s="40" t="s">
        <v>199</v>
      </c>
      <c r="C203" s="39" t="s">
        <v>200</v>
      </c>
      <c r="D203" s="39" t="s">
        <v>201</v>
      </c>
      <c r="E203" s="41" t="s">
        <v>1505</v>
      </c>
      <c r="F203" s="39" t="s">
        <v>357</v>
      </c>
      <c r="G203" s="39" t="s">
        <v>1506</v>
      </c>
      <c r="H203" s="39" t="s">
        <v>1507</v>
      </c>
      <c r="I203" s="39" t="s">
        <v>693</v>
      </c>
      <c r="J203" s="39" t="s">
        <v>1508</v>
      </c>
      <c r="K203" s="42" t="n">
        <v>2749</v>
      </c>
      <c r="L203" s="42" t="n">
        <v>2749</v>
      </c>
      <c r="M203" s="39" t="s">
        <v>217</v>
      </c>
      <c r="N203" s="39"/>
      <c r="O203" s="39"/>
      <c r="P203" s="39"/>
      <c r="Q203" s="43" t="s">
        <v>1509</v>
      </c>
      <c r="R203" s="36" t="s">
        <v>1510</v>
      </c>
      <c r="S203" s="39"/>
      <c r="T203" s="36" t="s">
        <v>755</v>
      </c>
      <c r="U203" s="36" t="s">
        <v>1045</v>
      </c>
      <c r="V203" s="39"/>
      <c r="W203" s="39" t="s">
        <v>1284</v>
      </c>
      <c r="X203" s="39"/>
      <c r="Y203" s="39"/>
      <c r="Z203" s="39" t="s">
        <v>291</v>
      </c>
      <c r="AA203" s="38" t="s">
        <v>217</v>
      </c>
      <c r="AB203" s="38" t="s">
        <v>217</v>
      </c>
      <c r="AC203" s="38" t="s">
        <v>217</v>
      </c>
      <c r="AD203" s="44" t="s">
        <v>335</v>
      </c>
      <c r="AE203" s="37" t="s">
        <v>216</v>
      </c>
      <c r="AF203" s="38" t="s">
        <v>217</v>
      </c>
      <c r="AG203" s="37" t="s">
        <v>216</v>
      </c>
      <c r="AH203" s="37" t="s">
        <v>216</v>
      </c>
      <c r="AI203" s="38" t="s">
        <v>217</v>
      </c>
    </row>
    <row r="204" customFormat="false" ht="57.75" hidden="false" customHeight="true" outlineLevel="0" collapsed="false">
      <c r="A204" s="32" t="n">
        <v>203</v>
      </c>
      <c r="B204" s="34" t="s">
        <v>199</v>
      </c>
      <c r="C204" s="32" t="s">
        <v>200</v>
      </c>
      <c r="D204" s="32" t="s">
        <v>201</v>
      </c>
      <c r="E204" s="31" t="s">
        <v>1511</v>
      </c>
      <c r="F204" s="32" t="s">
        <v>1512</v>
      </c>
      <c r="G204" s="32" t="s">
        <v>1513</v>
      </c>
      <c r="H204" s="32" t="s">
        <v>939</v>
      </c>
      <c r="I204" s="32" t="s">
        <v>1514</v>
      </c>
      <c r="J204" s="32" t="s">
        <v>1515</v>
      </c>
      <c r="K204" s="35" t="n">
        <v>515</v>
      </c>
      <c r="L204" s="35" t="n">
        <v>578</v>
      </c>
      <c r="M204" s="32" t="s">
        <v>208</v>
      </c>
      <c r="N204" s="32"/>
      <c r="O204" s="36" t="s">
        <v>1516</v>
      </c>
      <c r="P204" s="43" t="s">
        <v>1517</v>
      </c>
      <c r="Q204" s="32"/>
      <c r="R204" s="36" t="s">
        <v>1518</v>
      </c>
      <c r="S204" s="36" t="s">
        <v>1519</v>
      </c>
      <c r="T204" s="36" t="s">
        <v>755</v>
      </c>
      <c r="U204" s="36" t="s">
        <v>1520</v>
      </c>
      <c r="V204" s="32"/>
      <c r="W204" s="32" t="s">
        <v>656</v>
      </c>
      <c r="X204" s="32"/>
      <c r="Y204" s="32"/>
      <c r="Z204" s="32" t="s">
        <v>892</v>
      </c>
      <c r="AA204" s="38" t="s">
        <v>217</v>
      </c>
      <c r="AB204" s="37" t="s">
        <v>216</v>
      </c>
      <c r="AC204" s="44" t="s">
        <v>335</v>
      </c>
      <c r="AD204" s="38" t="s">
        <v>217</v>
      </c>
      <c r="AE204" s="37" t="s">
        <v>216</v>
      </c>
      <c r="AF204" s="37" t="s">
        <v>216</v>
      </c>
      <c r="AG204" s="37" t="s">
        <v>216</v>
      </c>
      <c r="AH204" s="37" t="s">
        <v>216</v>
      </c>
      <c r="AI204" s="38" t="s">
        <v>217</v>
      </c>
    </row>
    <row r="205" customFormat="false" ht="57.75" hidden="false" customHeight="true" outlineLevel="0" collapsed="false">
      <c r="A205" s="39" t="n">
        <v>204</v>
      </c>
      <c r="B205" s="40" t="s">
        <v>199</v>
      </c>
      <c r="C205" s="39" t="s">
        <v>200</v>
      </c>
      <c r="D205" s="39" t="s">
        <v>201</v>
      </c>
      <c r="E205" s="41" t="s">
        <v>1521</v>
      </c>
      <c r="F205" s="39" t="s">
        <v>626</v>
      </c>
      <c r="G205" s="39" t="s">
        <v>1513</v>
      </c>
      <c r="H205" s="39" t="s">
        <v>1443</v>
      </c>
      <c r="I205" s="39" t="s">
        <v>1522</v>
      </c>
      <c r="J205" s="39"/>
      <c r="K205" s="42"/>
      <c r="L205" s="42"/>
      <c r="M205" s="39" t="s">
        <v>217</v>
      </c>
      <c r="N205" s="36" t="s">
        <v>106</v>
      </c>
      <c r="O205" s="36" t="s">
        <v>1502</v>
      </c>
      <c r="P205" s="43" t="s">
        <v>1523</v>
      </c>
      <c r="Q205" s="39"/>
      <c r="R205" s="36" t="s">
        <v>1524</v>
      </c>
      <c r="S205" s="36" t="s">
        <v>212</v>
      </c>
      <c r="T205" s="36" t="s">
        <v>755</v>
      </c>
      <c r="U205" s="39"/>
      <c r="V205" s="39"/>
      <c r="W205" s="39" t="s">
        <v>302</v>
      </c>
      <c r="X205" s="39"/>
      <c r="Y205" s="39"/>
      <c r="Z205" s="39" t="s">
        <v>857</v>
      </c>
      <c r="AA205" s="37" t="s">
        <v>216</v>
      </c>
      <c r="AB205" s="37" t="s">
        <v>216</v>
      </c>
      <c r="AC205" s="44" t="s">
        <v>335</v>
      </c>
      <c r="AD205" s="38" t="s">
        <v>217</v>
      </c>
      <c r="AE205" s="37" t="s">
        <v>216</v>
      </c>
      <c r="AF205" s="37" t="s">
        <v>216</v>
      </c>
      <c r="AG205" s="37" t="s">
        <v>216</v>
      </c>
      <c r="AH205" s="38" t="s">
        <v>217</v>
      </c>
      <c r="AI205" s="38" t="s">
        <v>217</v>
      </c>
    </row>
    <row r="206" customFormat="false" ht="57.75" hidden="false" customHeight="true" outlineLevel="0" collapsed="false">
      <c r="A206" s="32" t="n">
        <v>205</v>
      </c>
      <c r="B206" s="34" t="s">
        <v>199</v>
      </c>
      <c r="C206" s="32" t="s">
        <v>200</v>
      </c>
      <c r="D206" s="32" t="s">
        <v>201</v>
      </c>
      <c r="E206" s="31" t="s">
        <v>1525</v>
      </c>
      <c r="F206" s="32" t="s">
        <v>357</v>
      </c>
      <c r="G206" s="32" t="s">
        <v>1513</v>
      </c>
      <c r="H206" s="32" t="s">
        <v>1507</v>
      </c>
      <c r="I206" s="32" t="s">
        <v>360</v>
      </c>
      <c r="J206" s="32" t="s">
        <v>1526</v>
      </c>
      <c r="K206" s="35" t="n">
        <v>2409</v>
      </c>
      <c r="L206" s="35" t="n">
        <v>2409</v>
      </c>
      <c r="M206" s="32" t="s">
        <v>217</v>
      </c>
      <c r="N206" s="32"/>
      <c r="O206" s="32"/>
      <c r="P206" s="32"/>
      <c r="Q206" s="43" t="s">
        <v>1509</v>
      </c>
      <c r="R206" s="36" t="s">
        <v>1510</v>
      </c>
      <c r="S206" s="32"/>
      <c r="T206" s="36" t="s">
        <v>755</v>
      </c>
      <c r="U206" s="36" t="s">
        <v>1045</v>
      </c>
      <c r="V206" s="32"/>
      <c r="W206" s="32" t="s">
        <v>1284</v>
      </c>
      <c r="X206" s="32"/>
      <c r="Y206" s="32"/>
      <c r="Z206" s="32" t="s">
        <v>857</v>
      </c>
      <c r="AA206" s="38" t="s">
        <v>217</v>
      </c>
      <c r="AB206" s="38" t="s">
        <v>217</v>
      </c>
      <c r="AC206" s="38" t="s">
        <v>217</v>
      </c>
      <c r="AD206" s="44" t="s">
        <v>335</v>
      </c>
      <c r="AE206" s="37" t="s">
        <v>216</v>
      </c>
      <c r="AF206" s="38" t="s">
        <v>217</v>
      </c>
      <c r="AG206" s="37" t="s">
        <v>216</v>
      </c>
      <c r="AH206" s="37" t="s">
        <v>216</v>
      </c>
      <c r="AI206" s="38" t="s">
        <v>217</v>
      </c>
    </row>
    <row r="207" customFormat="false" ht="57.75" hidden="false" customHeight="true" outlineLevel="0" collapsed="false">
      <c r="A207" s="39" t="n">
        <v>206</v>
      </c>
      <c r="B207" s="40" t="s">
        <v>199</v>
      </c>
      <c r="C207" s="39" t="s">
        <v>200</v>
      </c>
      <c r="D207" s="39" t="s">
        <v>201</v>
      </c>
      <c r="E207" s="41" t="s">
        <v>1527</v>
      </c>
      <c r="F207" s="39" t="s">
        <v>650</v>
      </c>
      <c r="G207" s="39" t="s">
        <v>1513</v>
      </c>
      <c r="H207" s="39" t="s">
        <v>205</v>
      </c>
      <c r="I207" s="39" t="s">
        <v>1528</v>
      </c>
      <c r="J207" s="39"/>
      <c r="K207" s="42"/>
      <c r="L207" s="42"/>
      <c r="M207" s="39" t="s">
        <v>222</v>
      </c>
      <c r="N207" s="39"/>
      <c r="O207" s="39"/>
      <c r="P207" s="39"/>
      <c r="Q207" s="36" t="s">
        <v>1529</v>
      </c>
      <c r="R207" s="43" t="s">
        <v>1530</v>
      </c>
      <c r="S207" s="36" t="s">
        <v>1531</v>
      </c>
      <c r="T207" s="36" t="s">
        <v>755</v>
      </c>
      <c r="U207" s="39"/>
      <c r="V207" s="36" t="s">
        <v>655</v>
      </c>
      <c r="W207" s="39" t="s">
        <v>1532</v>
      </c>
      <c r="X207" s="39"/>
      <c r="Y207" s="39"/>
      <c r="Z207" s="39" t="s">
        <v>1533</v>
      </c>
      <c r="AA207" s="38" t="s">
        <v>217</v>
      </c>
      <c r="AB207" s="38" t="s">
        <v>217</v>
      </c>
      <c r="AC207" s="38" t="s">
        <v>217</v>
      </c>
      <c r="AD207" s="37" t="s">
        <v>216</v>
      </c>
      <c r="AE207" s="44" t="s">
        <v>335</v>
      </c>
      <c r="AF207" s="37" t="s">
        <v>216</v>
      </c>
      <c r="AG207" s="37" t="s">
        <v>216</v>
      </c>
      <c r="AH207" s="38" t="s">
        <v>217</v>
      </c>
      <c r="AI207" s="37" t="s">
        <v>216</v>
      </c>
    </row>
    <row r="208" customFormat="false" ht="57.75" hidden="false" customHeight="true" outlineLevel="0" collapsed="false">
      <c r="A208" s="32" t="n">
        <v>207</v>
      </c>
      <c r="B208" s="34" t="s">
        <v>199</v>
      </c>
      <c r="C208" s="32" t="s">
        <v>200</v>
      </c>
      <c r="D208" s="32" t="s">
        <v>201</v>
      </c>
      <c r="E208" s="31" t="s">
        <v>1534</v>
      </c>
      <c r="F208" s="32" t="s">
        <v>357</v>
      </c>
      <c r="G208" s="32" t="s">
        <v>1513</v>
      </c>
      <c r="H208" s="32" t="s">
        <v>1535</v>
      </c>
      <c r="I208" s="32" t="s">
        <v>1536</v>
      </c>
      <c r="J208" s="32"/>
      <c r="K208" s="35"/>
      <c r="L208" s="35"/>
      <c r="M208" s="32" t="s">
        <v>217</v>
      </c>
      <c r="N208" s="32"/>
      <c r="O208" s="32"/>
      <c r="P208" s="43" t="s">
        <v>1537</v>
      </c>
      <c r="Q208" s="43" t="s">
        <v>1538</v>
      </c>
      <c r="R208" s="43" t="s">
        <v>1539</v>
      </c>
      <c r="S208" s="32"/>
      <c r="T208" s="36" t="s">
        <v>755</v>
      </c>
      <c r="U208" s="32"/>
      <c r="V208" s="32"/>
      <c r="W208" s="32" t="s">
        <v>656</v>
      </c>
      <c r="X208" s="32"/>
      <c r="Y208" s="32"/>
      <c r="Z208" s="32" t="s">
        <v>1540</v>
      </c>
      <c r="AA208" s="38" t="s">
        <v>217</v>
      </c>
      <c r="AB208" s="38" t="s">
        <v>217</v>
      </c>
      <c r="AC208" s="44" t="s">
        <v>335</v>
      </c>
      <c r="AD208" s="44" t="s">
        <v>335</v>
      </c>
      <c r="AE208" s="44" t="s">
        <v>335</v>
      </c>
      <c r="AF208" s="38" t="s">
        <v>217</v>
      </c>
      <c r="AG208" s="37" t="s">
        <v>216</v>
      </c>
      <c r="AH208" s="38" t="s">
        <v>217</v>
      </c>
      <c r="AI208" s="38" t="s">
        <v>217</v>
      </c>
    </row>
    <row r="209" customFormat="false" ht="57.75" hidden="false" customHeight="true" outlineLevel="0" collapsed="false">
      <c r="A209" s="39" t="n">
        <v>208</v>
      </c>
      <c r="B209" s="40" t="s">
        <v>199</v>
      </c>
      <c r="C209" s="39" t="s">
        <v>200</v>
      </c>
      <c r="D209" s="39" t="s">
        <v>201</v>
      </c>
      <c r="E209" s="41" t="s">
        <v>1541</v>
      </c>
      <c r="F209" s="39" t="s">
        <v>1542</v>
      </c>
      <c r="G209" s="39" t="s">
        <v>1513</v>
      </c>
      <c r="H209" s="39" t="s">
        <v>642</v>
      </c>
      <c r="I209" s="39" t="s">
        <v>1543</v>
      </c>
      <c r="J209" s="39" t="s">
        <v>1544</v>
      </c>
      <c r="K209" s="42" t="n">
        <v>1200</v>
      </c>
      <c r="L209" s="42" t="n">
        <v>1200</v>
      </c>
      <c r="M209" s="39" t="s">
        <v>208</v>
      </c>
      <c r="N209" s="39"/>
      <c r="O209" s="36" t="s">
        <v>1502</v>
      </c>
      <c r="P209" s="43" t="s">
        <v>1545</v>
      </c>
      <c r="Q209" s="39"/>
      <c r="R209" s="43" t="s">
        <v>1539</v>
      </c>
      <c r="S209" s="36" t="s">
        <v>322</v>
      </c>
      <c r="T209" s="36" t="s">
        <v>755</v>
      </c>
      <c r="U209" s="39"/>
      <c r="V209" s="39"/>
      <c r="W209" s="39" t="s">
        <v>1546</v>
      </c>
      <c r="X209" s="39"/>
      <c r="Y209" s="39"/>
      <c r="Z209" s="39" t="s">
        <v>669</v>
      </c>
      <c r="AA209" s="38" t="s">
        <v>217</v>
      </c>
      <c r="AB209" s="37" t="s">
        <v>216</v>
      </c>
      <c r="AC209" s="44" t="s">
        <v>335</v>
      </c>
      <c r="AD209" s="38" t="s">
        <v>217</v>
      </c>
      <c r="AE209" s="44" t="s">
        <v>335</v>
      </c>
      <c r="AF209" s="37" t="s">
        <v>216</v>
      </c>
      <c r="AG209" s="37" t="s">
        <v>216</v>
      </c>
      <c r="AH209" s="38" t="s">
        <v>217</v>
      </c>
      <c r="AI209" s="38" t="s">
        <v>217</v>
      </c>
    </row>
    <row r="210" customFormat="false" ht="57.75" hidden="false" customHeight="true" outlineLevel="0" collapsed="false">
      <c r="A210" s="32" t="n">
        <v>209</v>
      </c>
      <c r="B210" s="34" t="s">
        <v>199</v>
      </c>
      <c r="C210" s="32" t="s">
        <v>200</v>
      </c>
      <c r="D210" s="32" t="s">
        <v>201</v>
      </c>
      <c r="E210" s="31" t="s">
        <v>1547</v>
      </c>
      <c r="F210" s="32" t="s">
        <v>1548</v>
      </c>
      <c r="G210" s="32" t="s">
        <v>1513</v>
      </c>
      <c r="H210" s="32" t="s">
        <v>642</v>
      </c>
      <c r="I210" s="32" t="s">
        <v>1549</v>
      </c>
      <c r="J210" s="32"/>
      <c r="K210" s="35"/>
      <c r="L210" s="35"/>
      <c r="M210" s="32" t="s">
        <v>208</v>
      </c>
      <c r="N210" s="32"/>
      <c r="O210" s="32"/>
      <c r="P210" s="32"/>
      <c r="Q210" s="32"/>
      <c r="R210" s="36" t="s">
        <v>1550</v>
      </c>
      <c r="S210" s="32"/>
      <c r="T210" s="36" t="s">
        <v>755</v>
      </c>
      <c r="U210" s="36" t="s">
        <v>1551</v>
      </c>
      <c r="V210" s="32"/>
      <c r="W210" s="32" t="s">
        <v>1552</v>
      </c>
      <c r="X210" s="32"/>
      <c r="Y210" s="32"/>
      <c r="Z210" s="32" t="s">
        <v>1553</v>
      </c>
      <c r="AA210" s="38" t="s">
        <v>217</v>
      </c>
      <c r="AB210" s="38" t="s">
        <v>217</v>
      </c>
      <c r="AC210" s="38" t="s">
        <v>217</v>
      </c>
      <c r="AD210" s="38" t="s">
        <v>217</v>
      </c>
      <c r="AE210" s="37" t="s">
        <v>216</v>
      </c>
      <c r="AF210" s="38" t="s">
        <v>217</v>
      </c>
      <c r="AG210" s="37" t="s">
        <v>216</v>
      </c>
      <c r="AH210" s="37" t="s">
        <v>216</v>
      </c>
      <c r="AI210" s="38" t="s">
        <v>217</v>
      </c>
    </row>
    <row r="211" customFormat="false" ht="57.75" hidden="false" customHeight="true" outlineLevel="0" collapsed="false">
      <c r="A211" s="39" t="n">
        <v>210</v>
      </c>
      <c r="B211" s="40" t="s">
        <v>199</v>
      </c>
      <c r="C211" s="39" t="s">
        <v>200</v>
      </c>
      <c r="D211" s="39" t="s">
        <v>201</v>
      </c>
      <c r="E211" s="41" t="s">
        <v>1554</v>
      </c>
      <c r="F211" s="39" t="s">
        <v>357</v>
      </c>
      <c r="G211" s="39" t="s">
        <v>1555</v>
      </c>
      <c r="H211" s="39" t="s">
        <v>1556</v>
      </c>
      <c r="I211" s="39" t="s">
        <v>1076</v>
      </c>
      <c r="J211" s="39" t="s">
        <v>1557</v>
      </c>
      <c r="K211" s="42" t="n">
        <v>2019</v>
      </c>
      <c r="L211" s="42" t="n">
        <v>2019</v>
      </c>
      <c r="M211" s="39" t="s">
        <v>217</v>
      </c>
      <c r="N211" s="39"/>
      <c r="O211" s="39"/>
      <c r="P211" s="43" t="s">
        <v>1537</v>
      </c>
      <c r="Q211" s="43" t="s">
        <v>1558</v>
      </c>
      <c r="R211" s="43" t="s">
        <v>1559</v>
      </c>
      <c r="S211" s="39"/>
      <c r="T211" s="36" t="s">
        <v>755</v>
      </c>
      <c r="U211" s="36" t="s">
        <v>1045</v>
      </c>
      <c r="V211" s="39"/>
      <c r="W211" s="39" t="s">
        <v>1560</v>
      </c>
      <c r="X211" s="39"/>
      <c r="Y211" s="39"/>
      <c r="Z211" s="39" t="s">
        <v>1561</v>
      </c>
      <c r="AA211" s="38" t="s">
        <v>217</v>
      </c>
      <c r="AB211" s="38" t="s">
        <v>217</v>
      </c>
      <c r="AC211" s="44" t="s">
        <v>335</v>
      </c>
      <c r="AD211" s="44" t="s">
        <v>335</v>
      </c>
      <c r="AE211" s="44" t="s">
        <v>335</v>
      </c>
      <c r="AF211" s="38" t="s">
        <v>217</v>
      </c>
      <c r="AG211" s="37" t="s">
        <v>216</v>
      </c>
      <c r="AH211" s="37" t="s">
        <v>216</v>
      </c>
      <c r="AI211" s="38" t="s">
        <v>217</v>
      </c>
    </row>
    <row r="212" customFormat="false" ht="57.75" hidden="false" customHeight="true" outlineLevel="0" collapsed="false">
      <c r="A212" s="32" t="n">
        <v>211</v>
      </c>
      <c r="B212" s="34" t="s">
        <v>199</v>
      </c>
      <c r="C212" s="32" t="s">
        <v>200</v>
      </c>
      <c r="D212" s="32" t="s">
        <v>201</v>
      </c>
      <c r="E212" s="31" t="s">
        <v>1562</v>
      </c>
      <c r="F212" s="32" t="s">
        <v>1563</v>
      </c>
      <c r="G212" s="32" t="s">
        <v>1564</v>
      </c>
      <c r="H212" s="32" t="s">
        <v>1293</v>
      </c>
      <c r="I212" s="32" t="s">
        <v>817</v>
      </c>
      <c r="J212" s="32"/>
      <c r="K212" s="35"/>
      <c r="L212" s="35"/>
      <c r="M212" s="32" t="s">
        <v>217</v>
      </c>
      <c r="N212" s="32"/>
      <c r="O212" s="32"/>
      <c r="P212" s="32"/>
      <c r="Q212" s="32"/>
      <c r="R212" s="32"/>
      <c r="S212" s="32"/>
      <c r="T212" s="32"/>
      <c r="U212" s="32"/>
      <c r="V212" s="32"/>
      <c r="W212" s="32"/>
      <c r="X212" s="32" t="s">
        <v>746</v>
      </c>
      <c r="Y212" s="32"/>
      <c r="Z212" s="32" t="s">
        <v>490</v>
      </c>
      <c r="AA212" s="38" t="s">
        <v>217</v>
      </c>
      <c r="AB212" s="38" t="s">
        <v>217</v>
      </c>
      <c r="AC212" s="38" t="s">
        <v>217</v>
      </c>
      <c r="AD212" s="38" t="s">
        <v>217</v>
      </c>
      <c r="AE212" s="38" t="s">
        <v>217</v>
      </c>
      <c r="AF212" s="38" t="s">
        <v>217</v>
      </c>
      <c r="AG212" s="38" t="s">
        <v>217</v>
      </c>
      <c r="AH212" s="38" t="s">
        <v>217</v>
      </c>
      <c r="AI212" s="38" t="s">
        <v>217</v>
      </c>
    </row>
    <row r="213" customFormat="false" ht="57.75" hidden="false" customHeight="true" outlineLevel="0" collapsed="false">
      <c r="A213" s="39" t="n">
        <v>212</v>
      </c>
      <c r="B213" s="40" t="s">
        <v>199</v>
      </c>
      <c r="C213" s="39" t="s">
        <v>200</v>
      </c>
      <c r="D213" s="39" t="s">
        <v>201</v>
      </c>
      <c r="E213" s="41" t="s">
        <v>1565</v>
      </c>
      <c r="F213" s="39" t="s">
        <v>357</v>
      </c>
      <c r="G213" s="39" t="s">
        <v>1555</v>
      </c>
      <c r="H213" s="39" t="s">
        <v>1293</v>
      </c>
      <c r="I213" s="39" t="s">
        <v>427</v>
      </c>
      <c r="J213" s="39"/>
      <c r="K213" s="42"/>
      <c r="L213" s="42"/>
      <c r="M213" s="39" t="s">
        <v>217</v>
      </c>
      <c r="N213" s="39"/>
      <c r="O213" s="36" t="s">
        <v>1566</v>
      </c>
      <c r="P213" s="43" t="s">
        <v>1537</v>
      </c>
      <c r="Q213" s="43" t="s">
        <v>1558</v>
      </c>
      <c r="R213" s="43" t="s">
        <v>1567</v>
      </c>
      <c r="S213" s="39"/>
      <c r="T213" s="36" t="s">
        <v>755</v>
      </c>
      <c r="U213" s="36" t="s">
        <v>1045</v>
      </c>
      <c r="V213" s="39"/>
      <c r="W213" s="39" t="s">
        <v>1560</v>
      </c>
      <c r="X213" s="39"/>
      <c r="Y213" s="39"/>
      <c r="Z213" s="39" t="s">
        <v>374</v>
      </c>
      <c r="AA213" s="38" t="s">
        <v>217</v>
      </c>
      <c r="AB213" s="37" t="s">
        <v>216</v>
      </c>
      <c r="AC213" s="44" t="s">
        <v>335</v>
      </c>
      <c r="AD213" s="44" t="s">
        <v>335</v>
      </c>
      <c r="AE213" s="44" t="s">
        <v>335</v>
      </c>
      <c r="AF213" s="38" t="s">
        <v>217</v>
      </c>
      <c r="AG213" s="37" t="s">
        <v>216</v>
      </c>
      <c r="AH213" s="37" t="s">
        <v>216</v>
      </c>
      <c r="AI213" s="38" t="s">
        <v>217</v>
      </c>
    </row>
    <row r="214" customFormat="false" ht="57.75" hidden="false" customHeight="true" outlineLevel="0" collapsed="false">
      <c r="A214" s="32" t="n">
        <v>213</v>
      </c>
      <c r="B214" s="34" t="s">
        <v>199</v>
      </c>
      <c r="C214" s="32" t="s">
        <v>200</v>
      </c>
      <c r="D214" s="32" t="s">
        <v>201</v>
      </c>
      <c r="E214" s="31" t="s">
        <v>1568</v>
      </c>
      <c r="F214" s="32" t="s">
        <v>626</v>
      </c>
      <c r="G214" s="32" t="s">
        <v>1569</v>
      </c>
      <c r="H214" s="32" t="s">
        <v>1293</v>
      </c>
      <c r="I214" s="32" t="s">
        <v>643</v>
      </c>
      <c r="J214" s="32"/>
      <c r="K214" s="35"/>
      <c r="L214" s="35"/>
      <c r="M214" s="32" t="s">
        <v>217</v>
      </c>
      <c r="N214" s="36" t="s">
        <v>106</v>
      </c>
      <c r="O214" s="32"/>
      <c r="P214" s="32"/>
      <c r="Q214" s="32"/>
      <c r="R214" s="32"/>
      <c r="S214" s="36" t="s">
        <v>212</v>
      </c>
      <c r="T214" s="36" t="s">
        <v>755</v>
      </c>
      <c r="U214" s="36" t="s">
        <v>632</v>
      </c>
      <c r="V214" s="32"/>
      <c r="W214" s="32" t="s">
        <v>1570</v>
      </c>
      <c r="X214" s="32"/>
      <c r="Y214" s="32"/>
      <c r="Z214" s="32" t="s">
        <v>291</v>
      </c>
      <c r="AA214" s="37" t="s">
        <v>216</v>
      </c>
      <c r="AB214" s="38" t="s">
        <v>217</v>
      </c>
      <c r="AC214" s="38" t="s">
        <v>217</v>
      </c>
      <c r="AD214" s="38" t="s">
        <v>217</v>
      </c>
      <c r="AE214" s="38" t="s">
        <v>217</v>
      </c>
      <c r="AF214" s="37" t="s">
        <v>216</v>
      </c>
      <c r="AG214" s="37" t="s">
        <v>216</v>
      </c>
      <c r="AH214" s="37" t="s">
        <v>216</v>
      </c>
      <c r="AI214" s="38" t="s">
        <v>217</v>
      </c>
    </row>
    <row r="215" customFormat="false" ht="57.75" hidden="false" customHeight="true" outlineLevel="0" collapsed="false">
      <c r="A215" s="39" t="n">
        <v>214</v>
      </c>
      <c r="B215" s="40" t="s">
        <v>199</v>
      </c>
      <c r="C215" s="39" t="s">
        <v>200</v>
      </c>
      <c r="D215" s="39" t="s">
        <v>201</v>
      </c>
      <c r="E215" s="41" t="s">
        <v>1571</v>
      </c>
      <c r="F215" s="39" t="s">
        <v>1571</v>
      </c>
      <c r="G215" s="39" t="s">
        <v>1572</v>
      </c>
      <c r="H215" s="39" t="s">
        <v>642</v>
      </c>
      <c r="I215" s="39" t="s">
        <v>614</v>
      </c>
      <c r="J215" s="39" t="s">
        <v>1573</v>
      </c>
      <c r="K215" s="42" t="n">
        <v>3037</v>
      </c>
      <c r="L215" s="42" t="n">
        <v>4229</v>
      </c>
      <c r="M215" s="39" t="s">
        <v>208</v>
      </c>
      <c r="N215" s="39"/>
      <c r="O215" s="39"/>
      <c r="P215" s="39"/>
      <c r="Q215" s="39"/>
      <c r="R215" s="39"/>
      <c r="S215" s="39"/>
      <c r="T215" s="36" t="s">
        <v>755</v>
      </c>
      <c r="U215" s="36" t="s">
        <v>1574</v>
      </c>
      <c r="V215" s="39"/>
      <c r="W215" s="39" t="s">
        <v>1575</v>
      </c>
      <c r="X215" s="39"/>
      <c r="Y215" s="39"/>
      <c r="Z215" s="39" t="s">
        <v>1553</v>
      </c>
      <c r="AA215" s="38" t="s">
        <v>217</v>
      </c>
      <c r="AB215" s="38" t="s">
        <v>217</v>
      </c>
      <c r="AC215" s="38" t="s">
        <v>217</v>
      </c>
      <c r="AD215" s="38" t="s">
        <v>217</v>
      </c>
      <c r="AE215" s="38" t="s">
        <v>217</v>
      </c>
      <c r="AF215" s="38" t="s">
        <v>217</v>
      </c>
      <c r="AG215" s="37" t="s">
        <v>216</v>
      </c>
      <c r="AH215" s="37" t="s">
        <v>216</v>
      </c>
      <c r="AI215" s="38" t="s">
        <v>217</v>
      </c>
    </row>
    <row r="216" customFormat="false" ht="57.75" hidden="false" customHeight="true" outlineLevel="0" collapsed="false">
      <c r="A216" s="32" t="n">
        <v>215</v>
      </c>
      <c r="B216" s="34" t="s">
        <v>199</v>
      </c>
      <c r="C216" s="32" t="s">
        <v>200</v>
      </c>
      <c r="D216" s="32" t="s">
        <v>201</v>
      </c>
      <c r="E216" s="31" t="s">
        <v>1576</v>
      </c>
      <c r="F216" s="32" t="s">
        <v>1577</v>
      </c>
      <c r="G216" s="32" t="s">
        <v>1578</v>
      </c>
      <c r="H216" s="32" t="s">
        <v>799</v>
      </c>
      <c r="I216" s="32" t="s">
        <v>1579</v>
      </c>
      <c r="J216" s="32" t="s">
        <v>1580</v>
      </c>
      <c r="K216" s="35" t="n">
        <v>3879</v>
      </c>
      <c r="L216" s="35" t="n">
        <v>4280</v>
      </c>
      <c r="M216" s="32" t="s">
        <v>217</v>
      </c>
      <c r="N216" s="32"/>
      <c r="O216" s="32"/>
      <c r="P216" s="36" t="s">
        <v>1581</v>
      </c>
      <c r="Q216" s="43" t="s">
        <v>1582</v>
      </c>
      <c r="R216" s="36" t="s">
        <v>1524</v>
      </c>
      <c r="S216" s="32"/>
      <c r="T216" s="36" t="s">
        <v>755</v>
      </c>
      <c r="U216" s="36" t="s">
        <v>1583</v>
      </c>
      <c r="V216" s="43" t="s">
        <v>1582</v>
      </c>
      <c r="W216" s="32" t="s">
        <v>656</v>
      </c>
      <c r="X216" s="32"/>
      <c r="Y216" s="32"/>
      <c r="Z216" s="32" t="s">
        <v>443</v>
      </c>
      <c r="AA216" s="38" t="s">
        <v>217</v>
      </c>
      <c r="AB216" s="38" t="s">
        <v>217</v>
      </c>
      <c r="AC216" s="37" t="s">
        <v>216</v>
      </c>
      <c r="AD216" s="44" t="s">
        <v>335</v>
      </c>
      <c r="AE216" s="37" t="s">
        <v>216</v>
      </c>
      <c r="AF216" s="38" t="s">
        <v>217</v>
      </c>
      <c r="AG216" s="37" t="s">
        <v>216</v>
      </c>
      <c r="AH216" s="37" t="s">
        <v>216</v>
      </c>
      <c r="AI216" s="44" t="s">
        <v>335</v>
      </c>
    </row>
    <row r="217" customFormat="false" ht="57.75" hidden="false" customHeight="true" outlineLevel="0" collapsed="false">
      <c r="A217" s="45" t="n">
        <v>216</v>
      </c>
      <c r="B217" s="46" t="s">
        <v>1584</v>
      </c>
      <c r="C217" s="45" t="s">
        <v>1585</v>
      </c>
      <c r="D217" s="45" t="s">
        <v>1586</v>
      </c>
      <c r="E217" s="47" t="s">
        <v>1587</v>
      </c>
      <c r="F217" s="45" t="s">
        <v>1588</v>
      </c>
      <c r="G217" s="45" t="s">
        <v>1589</v>
      </c>
      <c r="H217" s="45" t="s">
        <v>1590</v>
      </c>
      <c r="I217" s="45" t="s">
        <v>1591</v>
      </c>
      <c r="J217" s="45" t="s">
        <v>1592</v>
      </c>
      <c r="K217" s="48" t="n">
        <v>2500</v>
      </c>
      <c r="L217" s="48" t="n">
        <v>6500</v>
      </c>
      <c r="M217" s="45" t="s">
        <v>1593</v>
      </c>
      <c r="N217" s="36" t="s">
        <v>1594</v>
      </c>
      <c r="O217" s="36" t="s">
        <v>1595</v>
      </c>
      <c r="P217" s="36" t="s">
        <v>1596</v>
      </c>
      <c r="Q217" s="36" t="s">
        <v>1597</v>
      </c>
      <c r="R217" s="36" t="s">
        <v>1598</v>
      </c>
      <c r="S217" s="36" t="s">
        <v>1599</v>
      </c>
      <c r="T217" s="36" t="s">
        <v>1600</v>
      </c>
      <c r="U217" s="36" t="s">
        <v>1601</v>
      </c>
      <c r="V217" s="43" t="s">
        <v>1602</v>
      </c>
      <c r="W217" s="45" t="s">
        <v>1603</v>
      </c>
      <c r="X217" s="45" t="s">
        <v>1604</v>
      </c>
      <c r="Y217" s="45"/>
      <c r="Z217" s="45"/>
      <c r="AA217" s="37" t="s">
        <v>216</v>
      </c>
      <c r="AB217" s="37" t="s">
        <v>216</v>
      </c>
      <c r="AC217" s="37" t="s">
        <v>216</v>
      </c>
      <c r="AD217" s="37" t="s">
        <v>216</v>
      </c>
      <c r="AE217" s="37" t="s">
        <v>216</v>
      </c>
      <c r="AF217" s="37" t="s">
        <v>216</v>
      </c>
      <c r="AG217" s="37" t="s">
        <v>216</v>
      </c>
      <c r="AH217" s="37" t="s">
        <v>216</v>
      </c>
      <c r="AI217" s="44" t="s">
        <v>335</v>
      </c>
    </row>
    <row r="218" customFormat="false" ht="57.75" hidden="false" customHeight="true" outlineLevel="0" collapsed="false">
      <c r="A218" s="49" t="n">
        <v>217</v>
      </c>
      <c r="B218" s="50" t="s">
        <v>1584</v>
      </c>
      <c r="C218" s="49" t="s">
        <v>1585</v>
      </c>
      <c r="D218" s="49" t="s">
        <v>1586</v>
      </c>
      <c r="E218" s="51" t="s">
        <v>1605</v>
      </c>
      <c r="F218" s="49" t="s">
        <v>1588</v>
      </c>
      <c r="G218" s="49" t="s">
        <v>1589</v>
      </c>
      <c r="H218" s="49" t="s">
        <v>1606</v>
      </c>
      <c r="I218" s="49" t="s">
        <v>1591</v>
      </c>
      <c r="J218" s="49" t="s">
        <v>1607</v>
      </c>
      <c r="K218" s="52"/>
      <c r="L218" s="52"/>
      <c r="M218" s="49" t="s">
        <v>1608</v>
      </c>
      <c r="N218" s="43" t="s">
        <v>1609</v>
      </c>
      <c r="O218" s="43" t="s">
        <v>1610</v>
      </c>
      <c r="P218" s="36" t="s">
        <v>1611</v>
      </c>
      <c r="Q218" s="43" t="s">
        <v>1612</v>
      </c>
      <c r="R218" s="36" t="s">
        <v>1613</v>
      </c>
      <c r="S218" s="36" t="s">
        <v>1614</v>
      </c>
      <c r="T218" s="43" t="s">
        <v>1615</v>
      </c>
      <c r="U218" s="43" t="s">
        <v>1615</v>
      </c>
      <c r="V218" s="43" t="s">
        <v>1616</v>
      </c>
      <c r="W218" s="49"/>
      <c r="X218" s="49" t="s">
        <v>1617</v>
      </c>
      <c r="Y218" s="49"/>
      <c r="Z218" s="49"/>
      <c r="AA218" s="44" t="s">
        <v>335</v>
      </c>
      <c r="AB218" s="44" t="s">
        <v>335</v>
      </c>
      <c r="AC218" s="37" t="s">
        <v>216</v>
      </c>
      <c r="AD218" s="44" t="s">
        <v>335</v>
      </c>
      <c r="AE218" s="37" t="s">
        <v>216</v>
      </c>
      <c r="AF218" s="37" t="s">
        <v>216</v>
      </c>
      <c r="AG218" s="44" t="s">
        <v>335</v>
      </c>
      <c r="AH218" s="44" t="s">
        <v>335</v>
      </c>
      <c r="AI218" s="44" t="s">
        <v>335</v>
      </c>
    </row>
    <row r="219" customFormat="false" ht="57.75" hidden="false" customHeight="true" outlineLevel="0" collapsed="false">
      <c r="A219" s="9" t="n">
        <v>218</v>
      </c>
      <c r="B219" s="15" t="s">
        <v>1618</v>
      </c>
      <c r="C219" s="9" t="s">
        <v>1619</v>
      </c>
      <c r="D219" s="9" t="s">
        <v>1620</v>
      </c>
      <c r="E219" s="53" t="s">
        <v>1621</v>
      </c>
      <c r="F219" s="9" t="s">
        <v>1622</v>
      </c>
      <c r="G219" s="9" t="s">
        <v>217</v>
      </c>
      <c r="H219" s="9" t="s">
        <v>1623</v>
      </c>
      <c r="I219" s="9" t="s">
        <v>217</v>
      </c>
      <c r="J219" s="9" t="s">
        <v>217</v>
      </c>
      <c r="K219" s="54"/>
      <c r="L219" s="54"/>
      <c r="M219" s="9" t="s">
        <v>217</v>
      </c>
      <c r="N219" s="36" t="s">
        <v>1624</v>
      </c>
      <c r="O219" s="36" t="s">
        <v>1625</v>
      </c>
      <c r="P219" s="36" t="s">
        <v>1626</v>
      </c>
      <c r="Q219" s="36" t="s">
        <v>517</v>
      </c>
      <c r="R219" s="36" t="s">
        <v>1627</v>
      </c>
      <c r="S219" s="36" t="s">
        <v>217</v>
      </c>
      <c r="T219" s="36" t="s">
        <v>217</v>
      </c>
      <c r="U219" s="36" t="s">
        <v>217</v>
      </c>
      <c r="V219" s="36" t="s">
        <v>1627</v>
      </c>
      <c r="W219" s="9"/>
      <c r="X219" s="9" t="s">
        <v>1628</v>
      </c>
      <c r="Y219" s="9"/>
      <c r="Z219" s="9"/>
      <c r="AA219" s="37" t="s">
        <v>216</v>
      </c>
      <c r="AB219" s="37" t="s">
        <v>216</v>
      </c>
      <c r="AC219" s="37" t="s">
        <v>216</v>
      </c>
      <c r="AD219" s="37" t="s">
        <v>216</v>
      </c>
      <c r="AE219" s="37" t="s">
        <v>216</v>
      </c>
      <c r="AF219" s="37" t="s">
        <v>216</v>
      </c>
      <c r="AG219" s="37" t="s">
        <v>216</v>
      </c>
      <c r="AH219" s="37" t="s">
        <v>216</v>
      </c>
      <c r="AI219" s="37" t="s">
        <v>216</v>
      </c>
    </row>
    <row r="220" customFormat="false" ht="57.75" hidden="false" customHeight="true" outlineLevel="0" collapsed="false">
      <c r="A220" s="55" t="n">
        <v>219</v>
      </c>
      <c r="B220" s="56" t="s">
        <v>1618</v>
      </c>
      <c r="C220" s="55" t="s">
        <v>1619</v>
      </c>
      <c r="D220" s="55" t="s">
        <v>1620</v>
      </c>
      <c r="E220" s="57" t="s">
        <v>1629</v>
      </c>
      <c r="F220" s="55" t="s">
        <v>1630</v>
      </c>
      <c r="G220" s="55" t="s">
        <v>1631</v>
      </c>
      <c r="H220" s="55" t="s">
        <v>1623</v>
      </c>
      <c r="I220" s="55" t="s">
        <v>217</v>
      </c>
      <c r="J220" s="55" t="s">
        <v>217</v>
      </c>
      <c r="K220" s="58"/>
      <c r="L220" s="58"/>
      <c r="M220" s="55" t="s">
        <v>217</v>
      </c>
      <c r="N220" s="59" t="s">
        <v>1632</v>
      </c>
      <c r="O220" s="36" t="s">
        <v>1625</v>
      </c>
      <c r="P220" s="43" t="s">
        <v>1633</v>
      </c>
      <c r="Q220" s="59" t="s">
        <v>1632</v>
      </c>
      <c r="R220" s="36" t="s">
        <v>1627</v>
      </c>
      <c r="S220" s="36" t="s">
        <v>217</v>
      </c>
      <c r="T220" s="36" t="s">
        <v>217</v>
      </c>
      <c r="U220" s="36" t="s">
        <v>217</v>
      </c>
      <c r="V220" s="36" t="s">
        <v>1627</v>
      </c>
      <c r="W220" s="55"/>
      <c r="X220" s="55" t="s">
        <v>1628</v>
      </c>
      <c r="Y220" s="55"/>
      <c r="Z220" s="55"/>
      <c r="AA220" s="60" t="s">
        <v>1632</v>
      </c>
      <c r="AB220" s="37" t="s">
        <v>216</v>
      </c>
      <c r="AC220" s="44" t="s">
        <v>335</v>
      </c>
      <c r="AD220" s="60" t="s">
        <v>1632</v>
      </c>
      <c r="AE220" s="37" t="s">
        <v>216</v>
      </c>
      <c r="AF220" s="37" t="s">
        <v>216</v>
      </c>
      <c r="AG220" s="37" t="s">
        <v>216</v>
      </c>
      <c r="AH220" s="37" t="s">
        <v>216</v>
      </c>
      <c r="AI220" s="37" t="s">
        <v>216</v>
      </c>
    </row>
    <row r="221" customFormat="false" ht="57.75" hidden="false" customHeight="true" outlineLevel="0" collapsed="false">
      <c r="A221" s="13" t="n">
        <v>220</v>
      </c>
      <c r="B221" s="61" t="s">
        <v>1634</v>
      </c>
      <c r="C221" s="13" t="s">
        <v>1635</v>
      </c>
      <c r="D221" s="13" t="s">
        <v>1620</v>
      </c>
      <c r="E221" s="62" t="s">
        <v>1636</v>
      </c>
      <c r="F221" s="13" t="s">
        <v>1637</v>
      </c>
      <c r="G221" s="13" t="s">
        <v>1638</v>
      </c>
      <c r="H221" s="13" t="s">
        <v>1639</v>
      </c>
      <c r="I221" s="13" t="s">
        <v>217</v>
      </c>
      <c r="J221" s="13" t="s">
        <v>217</v>
      </c>
      <c r="K221" s="63"/>
      <c r="L221" s="63"/>
      <c r="M221" s="13" t="s">
        <v>217</v>
      </c>
      <c r="N221" s="43" t="s">
        <v>1640</v>
      </c>
      <c r="O221" s="36" t="s">
        <v>1641</v>
      </c>
      <c r="P221" s="36" t="s">
        <v>1642</v>
      </c>
      <c r="Q221" s="36" t="s">
        <v>1643</v>
      </c>
      <c r="R221" s="36" t="s">
        <v>1644</v>
      </c>
      <c r="S221" s="43" t="s">
        <v>1640</v>
      </c>
      <c r="T221" s="36" t="s">
        <v>1645</v>
      </c>
      <c r="U221" s="36" t="s">
        <v>1646</v>
      </c>
      <c r="V221" s="36" t="s">
        <v>1647</v>
      </c>
      <c r="W221" s="13"/>
      <c r="X221" s="13" t="s">
        <v>1648</v>
      </c>
      <c r="Y221" s="13"/>
      <c r="Z221" s="13"/>
      <c r="AA221" s="44" t="s">
        <v>335</v>
      </c>
      <c r="AB221" s="37" t="s">
        <v>216</v>
      </c>
      <c r="AC221" s="37" t="s">
        <v>216</v>
      </c>
      <c r="AD221" s="37" t="s">
        <v>216</v>
      </c>
      <c r="AE221" s="37" t="s">
        <v>216</v>
      </c>
      <c r="AF221" s="44" t="s">
        <v>335</v>
      </c>
      <c r="AG221" s="37" t="s">
        <v>216</v>
      </c>
      <c r="AH221" s="37" t="s">
        <v>216</v>
      </c>
      <c r="AI221" s="37" t="s">
        <v>216</v>
      </c>
    </row>
    <row r="222" customFormat="false" ht="57.75" hidden="false" customHeight="true" outlineLevel="0" collapsed="false">
      <c r="A222" s="64" t="n">
        <v>221</v>
      </c>
      <c r="B222" s="65" t="s">
        <v>1634</v>
      </c>
      <c r="C222" s="64" t="s">
        <v>1635</v>
      </c>
      <c r="D222" s="64" t="s">
        <v>1620</v>
      </c>
      <c r="E222" s="66" t="s">
        <v>1649</v>
      </c>
      <c r="F222" s="64" t="s">
        <v>1650</v>
      </c>
      <c r="G222" s="64" t="s">
        <v>217</v>
      </c>
      <c r="H222" s="64" t="s">
        <v>1651</v>
      </c>
      <c r="I222" s="64" t="s">
        <v>217</v>
      </c>
      <c r="J222" s="64" t="s">
        <v>217</v>
      </c>
      <c r="K222" s="67"/>
      <c r="L222" s="67"/>
      <c r="M222" s="64" t="s">
        <v>217</v>
      </c>
      <c r="N222" s="59" t="s">
        <v>1632</v>
      </c>
      <c r="O222" s="68" t="s">
        <v>1652</v>
      </c>
      <c r="P222" s="59" t="s">
        <v>1653</v>
      </c>
      <c r="Q222" s="36" t="s">
        <v>216</v>
      </c>
      <c r="R222" s="68" t="s">
        <v>1654</v>
      </c>
      <c r="S222" s="36" t="s">
        <v>1655</v>
      </c>
      <c r="T222" s="36" t="s">
        <v>868</v>
      </c>
      <c r="U222" s="36" t="s">
        <v>1656</v>
      </c>
      <c r="V222" s="68" t="s">
        <v>1654</v>
      </c>
      <c r="W222" s="64"/>
      <c r="X222" s="64" t="s">
        <v>1657</v>
      </c>
      <c r="Y222" s="64"/>
      <c r="Z222" s="64"/>
      <c r="AA222" s="60" t="s">
        <v>1632</v>
      </c>
      <c r="AB222" s="69" t="s">
        <v>1658</v>
      </c>
      <c r="AC222" s="60" t="s">
        <v>1632</v>
      </c>
      <c r="AD222" s="37" t="s">
        <v>216</v>
      </c>
      <c r="AE222" s="69" t="s">
        <v>1658</v>
      </c>
      <c r="AF222" s="37" t="s">
        <v>216</v>
      </c>
      <c r="AG222" s="37" t="s">
        <v>216</v>
      </c>
      <c r="AH222" s="37" t="s">
        <v>216</v>
      </c>
      <c r="AI222" s="69" t="s">
        <v>1658</v>
      </c>
    </row>
    <row r="223" customFormat="false" ht="57.75" hidden="false" customHeight="true" outlineLevel="0" collapsed="false">
      <c r="A223" s="13" t="n">
        <v>222</v>
      </c>
      <c r="B223" s="61" t="s">
        <v>1634</v>
      </c>
      <c r="C223" s="13" t="s">
        <v>1635</v>
      </c>
      <c r="D223" s="13" t="s">
        <v>1620</v>
      </c>
      <c r="E223" s="62" t="s">
        <v>1659</v>
      </c>
      <c r="F223" s="13" t="s">
        <v>1660</v>
      </c>
      <c r="G223" s="13" t="s">
        <v>1661</v>
      </c>
      <c r="H223" s="13" t="s">
        <v>1662</v>
      </c>
      <c r="I223" s="13" t="s">
        <v>217</v>
      </c>
      <c r="J223" s="13" t="s">
        <v>217</v>
      </c>
      <c r="K223" s="63"/>
      <c r="L223" s="63"/>
      <c r="M223" s="13" t="s">
        <v>217</v>
      </c>
      <c r="N223" s="36" t="s">
        <v>1663</v>
      </c>
      <c r="O223" s="43" t="s">
        <v>1664</v>
      </c>
      <c r="P223" s="43" t="s">
        <v>1665</v>
      </c>
      <c r="Q223" s="36" t="s">
        <v>1643</v>
      </c>
      <c r="R223" s="36" t="s">
        <v>1666</v>
      </c>
      <c r="S223" s="36" t="s">
        <v>1667</v>
      </c>
      <c r="T223" s="36" t="s">
        <v>755</v>
      </c>
      <c r="U223" s="36" t="s">
        <v>1668</v>
      </c>
      <c r="V223" s="36" t="s">
        <v>1669</v>
      </c>
      <c r="W223" s="13"/>
      <c r="X223" s="13" t="s">
        <v>1670</v>
      </c>
      <c r="Y223" s="13"/>
      <c r="Z223" s="13"/>
      <c r="AA223" s="37" t="s">
        <v>216</v>
      </c>
      <c r="AB223" s="44" t="s">
        <v>335</v>
      </c>
      <c r="AC223" s="44" t="s">
        <v>335</v>
      </c>
      <c r="AD223" s="37" t="s">
        <v>216</v>
      </c>
      <c r="AE223" s="37" t="s">
        <v>216</v>
      </c>
      <c r="AF223" s="37" t="s">
        <v>216</v>
      </c>
      <c r="AG223" s="37" t="s">
        <v>216</v>
      </c>
      <c r="AH223" s="37" t="s">
        <v>216</v>
      </c>
      <c r="AI223" s="37" t="s">
        <v>216</v>
      </c>
    </row>
    <row r="224" customFormat="false" ht="57.75" hidden="false" customHeight="true" outlineLevel="0" collapsed="false">
      <c r="A224" s="64" t="n">
        <v>223</v>
      </c>
      <c r="B224" s="65" t="s">
        <v>1634</v>
      </c>
      <c r="C224" s="64" t="s">
        <v>1635</v>
      </c>
      <c r="D224" s="64" t="s">
        <v>1620</v>
      </c>
      <c r="E224" s="66" t="s">
        <v>1671</v>
      </c>
      <c r="F224" s="64" t="s">
        <v>217</v>
      </c>
      <c r="G224" s="64" t="s">
        <v>217</v>
      </c>
      <c r="H224" s="64" t="s">
        <v>1672</v>
      </c>
      <c r="I224" s="64" t="s">
        <v>217</v>
      </c>
      <c r="J224" s="64" t="s">
        <v>217</v>
      </c>
      <c r="K224" s="67"/>
      <c r="L224" s="67"/>
      <c r="M224" s="64" t="s">
        <v>217</v>
      </c>
      <c r="N224" s="36" t="s">
        <v>216</v>
      </c>
      <c r="O224" s="36" t="s">
        <v>1673</v>
      </c>
      <c r="P224" s="43" t="s">
        <v>1674</v>
      </c>
      <c r="Q224" s="36" t="s">
        <v>1675</v>
      </c>
      <c r="R224" s="36" t="s">
        <v>1644</v>
      </c>
      <c r="S224" s="43" t="s">
        <v>1640</v>
      </c>
      <c r="T224" s="36" t="s">
        <v>1676</v>
      </c>
      <c r="U224" s="36" t="s">
        <v>1677</v>
      </c>
      <c r="V224" s="43" t="s">
        <v>1678</v>
      </c>
      <c r="W224" s="64"/>
      <c r="X224" s="64" t="s">
        <v>1679</v>
      </c>
      <c r="Y224" s="64"/>
      <c r="Z224" s="64"/>
      <c r="AA224" s="37" t="s">
        <v>216</v>
      </c>
      <c r="AB224" s="37" t="s">
        <v>216</v>
      </c>
      <c r="AC224" s="44" t="s">
        <v>335</v>
      </c>
      <c r="AD224" s="37" t="s">
        <v>216</v>
      </c>
      <c r="AE224" s="37" t="s">
        <v>216</v>
      </c>
      <c r="AF224" s="44" t="s">
        <v>335</v>
      </c>
      <c r="AG224" s="37" t="s">
        <v>216</v>
      </c>
      <c r="AH224" s="37" t="s">
        <v>216</v>
      </c>
      <c r="AI224" s="44" t="s">
        <v>335</v>
      </c>
    </row>
    <row r="225" customFormat="false" ht="57.75" hidden="false" customHeight="true" outlineLevel="0" collapsed="false">
      <c r="A225" s="13" t="n">
        <v>224</v>
      </c>
      <c r="B225" s="61" t="s">
        <v>1634</v>
      </c>
      <c r="C225" s="13" t="s">
        <v>1635</v>
      </c>
      <c r="D225" s="13" t="s">
        <v>1620</v>
      </c>
      <c r="E225" s="62" t="s">
        <v>1680</v>
      </c>
      <c r="F225" s="13" t="s">
        <v>217</v>
      </c>
      <c r="G225" s="13" t="s">
        <v>217</v>
      </c>
      <c r="H225" s="13" t="s">
        <v>1681</v>
      </c>
      <c r="I225" s="13" t="s">
        <v>217</v>
      </c>
      <c r="J225" s="13" t="s">
        <v>217</v>
      </c>
      <c r="K225" s="63"/>
      <c r="L225" s="63"/>
      <c r="M225" s="13" t="s">
        <v>217</v>
      </c>
      <c r="N225" s="36" t="s">
        <v>216</v>
      </c>
      <c r="O225" s="36" t="s">
        <v>1682</v>
      </c>
      <c r="P225" s="43" t="s">
        <v>1683</v>
      </c>
      <c r="Q225" s="43" t="s">
        <v>1684</v>
      </c>
      <c r="R225" s="36" t="s">
        <v>1685</v>
      </c>
      <c r="S225" s="36" t="s">
        <v>1667</v>
      </c>
      <c r="T225" s="36" t="s">
        <v>1686</v>
      </c>
      <c r="U225" s="36" t="s">
        <v>1687</v>
      </c>
      <c r="V225" s="43" t="s">
        <v>1688</v>
      </c>
      <c r="W225" s="13"/>
      <c r="X225" s="13" t="s">
        <v>1689</v>
      </c>
      <c r="Y225" s="13"/>
      <c r="Z225" s="13"/>
      <c r="AA225" s="37" t="s">
        <v>216</v>
      </c>
      <c r="AB225" s="37" t="s">
        <v>216</v>
      </c>
      <c r="AC225" s="44" t="s">
        <v>335</v>
      </c>
      <c r="AD225" s="44" t="s">
        <v>335</v>
      </c>
      <c r="AE225" s="37" t="s">
        <v>216</v>
      </c>
      <c r="AF225" s="37" t="s">
        <v>216</v>
      </c>
      <c r="AG225" s="37" t="s">
        <v>216</v>
      </c>
      <c r="AH225" s="37" t="s">
        <v>216</v>
      </c>
      <c r="AI225" s="44" t="s">
        <v>335</v>
      </c>
    </row>
    <row r="226" customFormat="false" ht="57.75" hidden="false" customHeight="true" outlineLevel="0" collapsed="false">
      <c r="A226" s="64" t="n">
        <v>225</v>
      </c>
      <c r="B226" s="65" t="s">
        <v>1634</v>
      </c>
      <c r="C226" s="64" t="s">
        <v>1635</v>
      </c>
      <c r="D226" s="64" t="s">
        <v>1620</v>
      </c>
      <c r="E226" s="66" t="s">
        <v>1690</v>
      </c>
      <c r="F226" s="64" t="s">
        <v>217</v>
      </c>
      <c r="G226" s="64" t="s">
        <v>217</v>
      </c>
      <c r="H226" s="64" t="s">
        <v>1662</v>
      </c>
      <c r="I226" s="64" t="s">
        <v>217</v>
      </c>
      <c r="J226" s="64" t="s">
        <v>217</v>
      </c>
      <c r="K226" s="67"/>
      <c r="L226" s="67"/>
      <c r="M226" s="64" t="s">
        <v>217</v>
      </c>
      <c r="N226" s="36" t="s">
        <v>1691</v>
      </c>
      <c r="O226" s="36" t="s">
        <v>1692</v>
      </c>
      <c r="P226" s="43" t="s">
        <v>1693</v>
      </c>
      <c r="Q226" s="36" t="s">
        <v>1675</v>
      </c>
      <c r="R226" s="43" t="s">
        <v>1694</v>
      </c>
      <c r="S226" s="36" t="s">
        <v>1667</v>
      </c>
      <c r="T226" s="36" t="s">
        <v>1695</v>
      </c>
      <c r="U226" s="36" t="s">
        <v>1696</v>
      </c>
      <c r="V226" s="36" t="s">
        <v>1697</v>
      </c>
      <c r="W226" s="64"/>
      <c r="X226" s="64" t="s">
        <v>1698</v>
      </c>
      <c r="Y226" s="64"/>
      <c r="Z226" s="64"/>
      <c r="AA226" s="37" t="s">
        <v>216</v>
      </c>
      <c r="AB226" s="37" t="s">
        <v>216</v>
      </c>
      <c r="AC226" s="44" t="s">
        <v>335</v>
      </c>
      <c r="AD226" s="37" t="s">
        <v>216</v>
      </c>
      <c r="AE226" s="44" t="s">
        <v>335</v>
      </c>
      <c r="AF226" s="37" t="s">
        <v>216</v>
      </c>
      <c r="AG226" s="37" t="s">
        <v>216</v>
      </c>
      <c r="AH226" s="37" t="s">
        <v>216</v>
      </c>
      <c r="AI226" s="37" t="s">
        <v>216</v>
      </c>
    </row>
    <row r="227" customFormat="false" ht="57.75" hidden="false" customHeight="true" outlineLevel="0" collapsed="false">
      <c r="A227" s="13" t="n">
        <v>226</v>
      </c>
      <c r="B227" s="61" t="s">
        <v>1634</v>
      </c>
      <c r="C227" s="13" t="s">
        <v>1635</v>
      </c>
      <c r="D227" s="13" t="s">
        <v>1620</v>
      </c>
      <c r="E227" s="62" t="s">
        <v>1699</v>
      </c>
      <c r="F227" s="13" t="s">
        <v>217</v>
      </c>
      <c r="G227" s="13" t="s">
        <v>217</v>
      </c>
      <c r="H227" s="13" t="s">
        <v>1700</v>
      </c>
      <c r="I227" s="13" t="s">
        <v>217</v>
      </c>
      <c r="J227" s="13" t="s">
        <v>1701</v>
      </c>
      <c r="K227" s="63"/>
      <c r="L227" s="63"/>
      <c r="M227" s="13" t="s">
        <v>217</v>
      </c>
      <c r="N227" s="36" t="s">
        <v>217</v>
      </c>
      <c r="O227" s="36" t="s">
        <v>217</v>
      </c>
      <c r="P227" s="36" t="s">
        <v>217</v>
      </c>
      <c r="Q227" s="43" t="s">
        <v>1702</v>
      </c>
      <c r="R227" s="36" t="s">
        <v>217</v>
      </c>
      <c r="S227" s="36" t="s">
        <v>217</v>
      </c>
      <c r="T227" s="36" t="s">
        <v>217</v>
      </c>
      <c r="U227" s="36" t="s">
        <v>217</v>
      </c>
      <c r="V227" s="43" t="s">
        <v>1703</v>
      </c>
      <c r="W227" s="13"/>
      <c r="X227" s="13" t="s">
        <v>1704</v>
      </c>
      <c r="Y227" s="13"/>
      <c r="Z227" s="13"/>
      <c r="AA227" s="37" t="s">
        <v>216</v>
      </c>
      <c r="AB227" s="37" t="s">
        <v>216</v>
      </c>
      <c r="AC227" s="37" t="s">
        <v>216</v>
      </c>
      <c r="AD227" s="44" t="s">
        <v>335</v>
      </c>
      <c r="AE227" s="37" t="s">
        <v>216</v>
      </c>
      <c r="AF227" s="37" t="s">
        <v>216</v>
      </c>
      <c r="AG227" s="37" t="s">
        <v>216</v>
      </c>
      <c r="AH227" s="37" t="s">
        <v>216</v>
      </c>
      <c r="AI227" s="44" t="s">
        <v>335</v>
      </c>
    </row>
    <row r="228" customFormat="false" ht="57.75" hidden="false" customHeight="true" outlineLevel="0" collapsed="false">
      <c r="A228" s="64" t="n">
        <v>227</v>
      </c>
      <c r="B228" s="65" t="s">
        <v>1634</v>
      </c>
      <c r="C228" s="64" t="s">
        <v>1635</v>
      </c>
      <c r="D228" s="64" t="s">
        <v>1620</v>
      </c>
      <c r="E228" s="66" t="s">
        <v>1705</v>
      </c>
      <c r="F228" s="64" t="s">
        <v>217</v>
      </c>
      <c r="G228" s="64" t="s">
        <v>217</v>
      </c>
      <c r="H228" s="64" t="s">
        <v>1706</v>
      </c>
      <c r="I228" s="64" t="s">
        <v>217</v>
      </c>
      <c r="J228" s="64" t="s">
        <v>217</v>
      </c>
      <c r="K228" s="67"/>
      <c r="L228" s="67"/>
      <c r="M228" s="64" t="s">
        <v>217</v>
      </c>
      <c r="N228" s="43" t="s">
        <v>1707</v>
      </c>
      <c r="O228" s="43" t="s">
        <v>1708</v>
      </c>
      <c r="P228" s="43" t="s">
        <v>1709</v>
      </c>
      <c r="Q228" s="43" t="s">
        <v>1710</v>
      </c>
      <c r="R228" s="43" t="s">
        <v>1711</v>
      </c>
      <c r="S228" s="36" t="s">
        <v>217</v>
      </c>
      <c r="T228" s="36" t="s">
        <v>217</v>
      </c>
      <c r="U228" s="36" t="s">
        <v>217</v>
      </c>
      <c r="V228" s="43" t="s">
        <v>1712</v>
      </c>
      <c r="W228" s="64"/>
      <c r="X228" s="64" t="s">
        <v>1713</v>
      </c>
      <c r="Y228" s="64"/>
      <c r="Z228" s="64"/>
      <c r="AA228" s="44" t="s">
        <v>335</v>
      </c>
      <c r="AB228" s="44" t="s">
        <v>335</v>
      </c>
      <c r="AC228" s="44" t="s">
        <v>335</v>
      </c>
      <c r="AD228" s="44" t="s">
        <v>335</v>
      </c>
      <c r="AE228" s="44" t="s">
        <v>335</v>
      </c>
      <c r="AF228" s="37" t="s">
        <v>216</v>
      </c>
      <c r="AG228" s="37" t="s">
        <v>216</v>
      </c>
      <c r="AH228" s="37" t="s">
        <v>216</v>
      </c>
      <c r="AI228" s="44" t="s">
        <v>335</v>
      </c>
    </row>
    <row r="229" customFormat="false" ht="57.75" hidden="false" customHeight="true" outlineLevel="0" collapsed="false">
      <c r="A229" s="13" t="n">
        <v>228</v>
      </c>
      <c r="B229" s="61" t="s">
        <v>1634</v>
      </c>
      <c r="C229" s="13" t="s">
        <v>1635</v>
      </c>
      <c r="D229" s="13" t="s">
        <v>1620</v>
      </c>
      <c r="E229" s="62" t="s">
        <v>1714</v>
      </c>
      <c r="F229" s="13" t="s">
        <v>217</v>
      </c>
      <c r="G229" s="13" t="s">
        <v>217</v>
      </c>
      <c r="H229" s="13" t="s">
        <v>1706</v>
      </c>
      <c r="I229" s="13" t="s">
        <v>217</v>
      </c>
      <c r="J229" s="13" t="s">
        <v>217</v>
      </c>
      <c r="K229" s="63"/>
      <c r="L229" s="63"/>
      <c r="M229" s="13" t="s">
        <v>217</v>
      </c>
      <c r="N229" s="43" t="s">
        <v>1707</v>
      </c>
      <c r="O229" s="43" t="s">
        <v>1708</v>
      </c>
      <c r="P229" s="43" t="s">
        <v>1709</v>
      </c>
      <c r="Q229" s="43" t="s">
        <v>1710</v>
      </c>
      <c r="R229" s="43" t="s">
        <v>1711</v>
      </c>
      <c r="S229" s="36" t="s">
        <v>217</v>
      </c>
      <c r="T229" s="36" t="s">
        <v>217</v>
      </c>
      <c r="U229" s="36" t="s">
        <v>217</v>
      </c>
      <c r="V229" s="43" t="s">
        <v>1712</v>
      </c>
      <c r="W229" s="13"/>
      <c r="X229" s="13" t="s">
        <v>1715</v>
      </c>
      <c r="Y229" s="13"/>
      <c r="Z229" s="13"/>
      <c r="AA229" s="44" t="s">
        <v>335</v>
      </c>
      <c r="AB229" s="44" t="s">
        <v>335</v>
      </c>
      <c r="AC229" s="44" t="s">
        <v>335</v>
      </c>
      <c r="AD229" s="44" t="s">
        <v>335</v>
      </c>
      <c r="AE229" s="44" t="s">
        <v>335</v>
      </c>
      <c r="AF229" s="37" t="s">
        <v>216</v>
      </c>
      <c r="AG229" s="37" t="s">
        <v>216</v>
      </c>
      <c r="AH229" s="37" t="s">
        <v>216</v>
      </c>
      <c r="AI229" s="44" t="s">
        <v>335</v>
      </c>
    </row>
    <row r="230" customFormat="false" ht="57.75" hidden="false" customHeight="true" outlineLevel="0" collapsed="false">
      <c r="A230" s="64" t="n">
        <v>229</v>
      </c>
      <c r="B230" s="65" t="s">
        <v>1634</v>
      </c>
      <c r="C230" s="64" t="s">
        <v>1635</v>
      </c>
      <c r="D230" s="64" t="s">
        <v>1620</v>
      </c>
      <c r="E230" s="66" t="s">
        <v>1716</v>
      </c>
      <c r="F230" s="64" t="s">
        <v>1717</v>
      </c>
      <c r="G230" s="64" t="s">
        <v>1718</v>
      </c>
      <c r="H230" s="64" t="s">
        <v>1719</v>
      </c>
      <c r="I230" s="64" t="s">
        <v>217</v>
      </c>
      <c r="J230" s="64" t="s">
        <v>217</v>
      </c>
      <c r="K230" s="67"/>
      <c r="L230" s="67"/>
      <c r="M230" s="64" t="s">
        <v>217</v>
      </c>
      <c r="N230" s="36" t="s">
        <v>1720</v>
      </c>
      <c r="O230" s="36" t="s">
        <v>217</v>
      </c>
      <c r="P230" s="36" t="s">
        <v>217</v>
      </c>
      <c r="Q230" s="36" t="s">
        <v>1721</v>
      </c>
      <c r="R230" s="36" t="s">
        <v>1722</v>
      </c>
      <c r="S230" s="36" t="s">
        <v>1723</v>
      </c>
      <c r="T230" s="36" t="s">
        <v>1724</v>
      </c>
      <c r="U230" s="36" t="s">
        <v>1725</v>
      </c>
      <c r="V230" s="36" t="s">
        <v>1726</v>
      </c>
      <c r="W230" s="64"/>
      <c r="X230" s="64" t="s">
        <v>1727</v>
      </c>
      <c r="Y230" s="64"/>
      <c r="Z230" s="64"/>
      <c r="AA230" s="37" t="s">
        <v>216</v>
      </c>
      <c r="AB230" s="37" t="s">
        <v>216</v>
      </c>
      <c r="AC230" s="37" t="s">
        <v>216</v>
      </c>
      <c r="AD230" s="37" t="s">
        <v>216</v>
      </c>
      <c r="AE230" s="37" t="s">
        <v>216</v>
      </c>
      <c r="AF230" s="37" t="s">
        <v>216</v>
      </c>
      <c r="AG230" s="37" t="s">
        <v>216</v>
      </c>
      <c r="AH230" s="37" t="s">
        <v>216</v>
      </c>
      <c r="AI230" s="37" t="s">
        <v>216</v>
      </c>
    </row>
    <row r="231" customFormat="false" ht="57.75" hidden="false" customHeight="true" outlineLevel="0" collapsed="false">
      <c r="A231" s="13" t="n">
        <v>230</v>
      </c>
      <c r="B231" s="61" t="s">
        <v>1634</v>
      </c>
      <c r="C231" s="13" t="s">
        <v>1635</v>
      </c>
      <c r="D231" s="13" t="s">
        <v>1620</v>
      </c>
      <c r="E231" s="62" t="s">
        <v>1728</v>
      </c>
      <c r="F231" s="13" t="s">
        <v>1591</v>
      </c>
      <c r="G231" s="13" t="s">
        <v>1729</v>
      </c>
      <c r="H231" s="13" t="s">
        <v>1730</v>
      </c>
      <c r="I231" s="13" t="s">
        <v>1591</v>
      </c>
      <c r="J231" s="13" t="s">
        <v>1591</v>
      </c>
      <c r="K231" s="63"/>
      <c r="L231" s="63"/>
      <c r="M231" s="13" t="s">
        <v>1591</v>
      </c>
      <c r="N231" s="36" t="s">
        <v>1731</v>
      </c>
      <c r="O231" s="36" t="s">
        <v>1732</v>
      </c>
      <c r="P231" s="43" t="s">
        <v>1733</v>
      </c>
      <c r="Q231" s="43" t="s">
        <v>1733</v>
      </c>
      <c r="R231" s="36" t="s">
        <v>1731</v>
      </c>
      <c r="S231" s="36" t="s">
        <v>1731</v>
      </c>
      <c r="T231" s="36" t="s">
        <v>1734</v>
      </c>
      <c r="U231" s="36" t="s">
        <v>1731</v>
      </c>
      <c r="V231" s="36" t="s">
        <v>1735</v>
      </c>
      <c r="W231" s="13"/>
      <c r="X231" s="13" t="s">
        <v>1736</v>
      </c>
      <c r="Y231" s="13"/>
      <c r="Z231" s="13"/>
      <c r="AA231" s="37" t="s">
        <v>216</v>
      </c>
      <c r="AB231" s="37" t="s">
        <v>216</v>
      </c>
      <c r="AC231" s="44" t="s">
        <v>335</v>
      </c>
      <c r="AD231" s="44" t="s">
        <v>335</v>
      </c>
      <c r="AE231" s="37" t="s">
        <v>216</v>
      </c>
      <c r="AF231" s="37" t="s">
        <v>216</v>
      </c>
      <c r="AG231" s="37" t="s">
        <v>216</v>
      </c>
      <c r="AH231" s="37" t="s">
        <v>216</v>
      </c>
      <c r="AI231" s="37" t="s">
        <v>216</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70" t="s">
        <v>1737</v>
      </c>
    </row>
    <row r="2" customFormat="false" ht="15" hidden="false" customHeight="false" outlineLevel="0" collapsed="false">
      <c r="A2" s="71" t="s">
        <v>1738</v>
      </c>
    </row>
    <row r="4" customFormat="false" ht="15" hidden="false" customHeight="false" outlineLevel="0" collapsed="false">
      <c r="A4" s="7" t="s">
        <v>1739</v>
      </c>
    </row>
    <row r="5" customFormat="false" ht="23.85" hidden="false" customHeight="false" outlineLevel="0" collapsed="false">
      <c r="A5" s="3" t="s">
        <v>64</v>
      </c>
      <c r="B5" s="3" t="s">
        <v>1740</v>
      </c>
      <c r="C5" s="3" t="s">
        <v>1741</v>
      </c>
      <c r="D5" s="3" t="s">
        <v>216</v>
      </c>
      <c r="E5" s="3" t="s">
        <v>1658</v>
      </c>
      <c r="F5" s="3" t="s">
        <v>335</v>
      </c>
      <c r="G5" s="3" t="s">
        <v>1632</v>
      </c>
      <c r="H5" s="3" t="s">
        <v>217</v>
      </c>
      <c r="I5" s="3" t="s">
        <v>1742</v>
      </c>
      <c r="J5" s="3" t="s">
        <v>1743</v>
      </c>
      <c r="K5" s="3" t="s">
        <v>1744</v>
      </c>
    </row>
    <row r="6" customFormat="false" ht="30" hidden="false" customHeight="true" outlineLevel="0" collapsed="false">
      <c r="A6" s="34" t="s">
        <v>106</v>
      </c>
      <c r="B6" s="72" t="s">
        <v>199</v>
      </c>
      <c r="C6" s="73" t="n">
        <f aca="false">COUNTIF('Consolidated Data'!$B$2:$B$231,"Laura Lopez")</f>
        <v>215</v>
      </c>
      <c r="D6" s="73" t="n">
        <f aca="false">COUNTIFS('Consolidated Data'!$B$2:$B$231,"Laura Lopez",'Consolidated Data'!$AA$2:$AA$231,"Included")</f>
        <v>55</v>
      </c>
      <c r="E6" s="73" t="n">
        <f aca="false">COUNTIFS('Consolidated Data'!$B$2:$B$231,"Laura Lopez",'Consolidated Data'!$AA$2:$AA$231,"Included (limited)")</f>
        <v>0</v>
      </c>
      <c r="F6" s="73" t="n">
        <f aca="false">COUNTIFS('Consolidated Data'!$B$2:$B$231,"Laura Lopez",'Consolidated Data'!$AA$2:$AA$231,"Available (extra cost)")</f>
        <v>0</v>
      </c>
      <c r="G6" s="73" t="n">
        <f aca="false">COUNTIFS('Consolidated Data'!$B$2:$B$231,"Laura Lopez",'Consolidated Data'!$AA$2:$AA$231,"Not provided")</f>
        <v>0</v>
      </c>
      <c r="H6" s="73" t="n">
        <f aca="false">COUNTIFS('Consolidated Data'!$B$2:$B$231,"Laura Lopez",'Consolidated Data'!$AA$2:$AA$231,"Not stated")</f>
        <v>160</v>
      </c>
      <c r="I6" s="73" t="n">
        <f aca="false">C6-H6</f>
        <v>55</v>
      </c>
      <c r="J6" s="74" t="n">
        <f aca="false">IF(C6=0,0,I6/C6)</f>
        <v>0.255813953488372</v>
      </c>
      <c r="K6" s="74" t="n">
        <f aca="false">IF(I6=0,0,(D6+E6)/I6)</f>
        <v>1</v>
      </c>
    </row>
    <row r="7" customFormat="false" ht="30" hidden="false" customHeight="true" outlineLevel="0" collapsed="false">
      <c r="A7" s="34" t="s">
        <v>106</v>
      </c>
      <c r="B7" s="72" t="s">
        <v>1634</v>
      </c>
      <c r="C7" s="73" t="n">
        <f aca="false">COUNTIF('Consolidated Data'!$B$2:$B$231,"Jennifer Saxman")</f>
        <v>11</v>
      </c>
      <c r="D7" s="73" t="n">
        <f aca="false">COUNTIFS('Consolidated Data'!$B$2:$B$231,"Jennifer Saxman",'Consolidated Data'!$AA$2:$AA$231,"Included")</f>
        <v>7</v>
      </c>
      <c r="E7" s="73" t="n">
        <f aca="false">COUNTIFS('Consolidated Data'!$B$2:$B$231,"Jennifer Saxman",'Consolidated Data'!$AA$2:$AA$231,"Included (limited)")</f>
        <v>0</v>
      </c>
      <c r="F7" s="73" t="n">
        <f aca="false">COUNTIFS('Consolidated Data'!$B$2:$B$231,"Jennifer Saxman",'Consolidated Data'!$AA$2:$AA$231,"Available (extra cost)")</f>
        <v>3</v>
      </c>
      <c r="G7" s="73" t="n">
        <f aca="false">COUNTIFS('Consolidated Data'!$B$2:$B$231,"Jennifer Saxman",'Consolidated Data'!$AA$2:$AA$231,"Not provided")</f>
        <v>1</v>
      </c>
      <c r="H7" s="73" t="n">
        <f aca="false">COUNTIFS('Consolidated Data'!$B$2:$B$231,"Jennifer Saxman",'Consolidated Data'!$AA$2:$AA$231,"Not stated")</f>
        <v>0</v>
      </c>
      <c r="I7" s="73" t="n">
        <f aca="false">C7-H7</f>
        <v>11</v>
      </c>
      <c r="J7" s="74" t="n">
        <f aca="false">IF(C7=0,0,I7/C7)</f>
        <v>1</v>
      </c>
      <c r="K7" s="74" t="n">
        <f aca="false">IF(I7=0,0,(D7+E7)/I7)</f>
        <v>0.636363636363636</v>
      </c>
    </row>
    <row r="8" customFormat="false" ht="30" hidden="false" customHeight="true" outlineLevel="0" collapsed="false">
      <c r="A8" s="75" t="s">
        <v>178</v>
      </c>
      <c r="B8" s="76" t="s">
        <v>199</v>
      </c>
      <c r="C8" s="77" t="n">
        <f aca="false">COUNTIF('Consolidated Data'!$B$2:$B$231,"Laura Lopez")</f>
        <v>215</v>
      </c>
      <c r="D8" s="77" t="n">
        <f aca="false">COUNTIFS('Consolidated Data'!$B$2:$B$231,"Laura Lopez",'Consolidated Data'!$AB$2:$AB$231,"Included")</f>
        <v>52</v>
      </c>
      <c r="E8" s="77" t="n">
        <f aca="false">COUNTIFS('Consolidated Data'!$B$2:$B$231,"Laura Lopez",'Consolidated Data'!$AB$2:$AB$231,"Included (limited)")</f>
        <v>0</v>
      </c>
      <c r="F8" s="77" t="n">
        <f aca="false">COUNTIFS('Consolidated Data'!$B$2:$B$231,"Laura Lopez",'Consolidated Data'!$AB$2:$AB$231,"Available (extra cost)")</f>
        <v>2</v>
      </c>
      <c r="G8" s="77" t="n">
        <f aca="false">COUNTIFS('Consolidated Data'!$B$2:$B$231,"Laura Lopez",'Consolidated Data'!$AB$2:$AB$231,"Not provided")</f>
        <v>0</v>
      </c>
      <c r="H8" s="77" t="n">
        <f aca="false">COUNTIFS('Consolidated Data'!$B$2:$B$231,"Laura Lopez",'Consolidated Data'!$AB$2:$AB$231,"Not stated")</f>
        <v>161</v>
      </c>
      <c r="I8" s="77" t="n">
        <f aca="false">C8-H8</f>
        <v>54</v>
      </c>
      <c r="J8" s="78" t="n">
        <f aca="false">IF(C8=0,0,I8/C8)</f>
        <v>0.251162790697674</v>
      </c>
      <c r="K8" s="78" t="n">
        <f aca="false">IF(I8=0,0,(D8+E8)/I8)</f>
        <v>0.962962962962963</v>
      </c>
    </row>
    <row r="9" customFormat="false" ht="30" hidden="false" customHeight="true" outlineLevel="0" collapsed="false">
      <c r="A9" s="75" t="s">
        <v>178</v>
      </c>
      <c r="B9" s="76" t="s">
        <v>1634</v>
      </c>
      <c r="C9" s="77" t="n">
        <f aca="false">COUNTIF('Consolidated Data'!$B$2:$B$231,"Jennifer Saxman")</f>
        <v>11</v>
      </c>
      <c r="D9" s="77" t="n">
        <f aca="false">COUNTIFS('Consolidated Data'!$B$2:$B$231,"Jennifer Saxman",'Consolidated Data'!$AB$2:$AB$231,"Included")</f>
        <v>7</v>
      </c>
      <c r="E9" s="77" t="n">
        <f aca="false">COUNTIFS('Consolidated Data'!$B$2:$B$231,"Jennifer Saxman",'Consolidated Data'!$AB$2:$AB$231,"Included (limited)")</f>
        <v>1</v>
      </c>
      <c r="F9" s="77" t="n">
        <f aca="false">COUNTIFS('Consolidated Data'!$B$2:$B$231,"Jennifer Saxman",'Consolidated Data'!$AB$2:$AB$231,"Available (extra cost)")</f>
        <v>3</v>
      </c>
      <c r="G9" s="77" t="n">
        <f aca="false">COUNTIFS('Consolidated Data'!$B$2:$B$231,"Jennifer Saxman",'Consolidated Data'!$AB$2:$AB$231,"Not provided")</f>
        <v>0</v>
      </c>
      <c r="H9" s="77" t="n">
        <f aca="false">COUNTIFS('Consolidated Data'!$B$2:$B$231,"Jennifer Saxman",'Consolidated Data'!$AB$2:$AB$231,"Not stated")</f>
        <v>0</v>
      </c>
      <c r="I9" s="77" t="n">
        <f aca="false">C9-H9</f>
        <v>11</v>
      </c>
      <c r="J9" s="78" t="n">
        <f aca="false">IF(C9=0,0,I9/C9)</f>
        <v>1</v>
      </c>
      <c r="K9" s="78" t="n">
        <f aca="false">IF(I9=0,0,(D9+E9)/I9)</f>
        <v>0.727272727272727</v>
      </c>
    </row>
    <row r="10" customFormat="false" ht="30" hidden="false" customHeight="true" outlineLevel="0" collapsed="false">
      <c r="A10" s="34" t="s">
        <v>179</v>
      </c>
      <c r="B10" s="72" t="s">
        <v>199</v>
      </c>
      <c r="C10" s="73" t="n">
        <f aca="false">COUNTIF('Consolidated Data'!$B$2:$B$231,"Laura Lopez")</f>
        <v>215</v>
      </c>
      <c r="D10" s="73" t="n">
        <f aca="false">COUNTIFS('Consolidated Data'!$B$2:$B$231,"Laura Lopez",'Consolidated Data'!$AC$2:$AC$231,"Included")</f>
        <v>36</v>
      </c>
      <c r="E10" s="73" t="n">
        <f aca="false">COUNTIFS('Consolidated Data'!$B$2:$B$231,"Laura Lopez",'Consolidated Data'!$AC$2:$AC$231,"Included (limited)")</f>
        <v>0</v>
      </c>
      <c r="F10" s="73" t="n">
        <f aca="false">COUNTIFS('Consolidated Data'!$B$2:$B$231,"Laura Lopez",'Consolidated Data'!$AC$2:$AC$231,"Available (extra cost)")</f>
        <v>17</v>
      </c>
      <c r="G10" s="73" t="n">
        <f aca="false">COUNTIFS('Consolidated Data'!$B$2:$B$231,"Laura Lopez",'Consolidated Data'!$AC$2:$AC$231,"Not provided")</f>
        <v>0</v>
      </c>
      <c r="H10" s="73" t="n">
        <f aca="false">COUNTIFS('Consolidated Data'!$B$2:$B$231,"Laura Lopez",'Consolidated Data'!$AC$2:$AC$231,"Not stated")</f>
        <v>162</v>
      </c>
      <c r="I10" s="73" t="n">
        <f aca="false">C10-H10</f>
        <v>53</v>
      </c>
      <c r="J10" s="74" t="n">
        <f aca="false">IF(C10=0,0,I10/C10)</f>
        <v>0.246511627906977</v>
      </c>
      <c r="K10" s="74" t="n">
        <f aca="false">IF(I10=0,0,(D10+E10)/I10)</f>
        <v>0.679245283018868</v>
      </c>
    </row>
    <row r="11" customFormat="false" ht="30" hidden="false" customHeight="true" outlineLevel="0" collapsed="false">
      <c r="A11" s="34" t="s">
        <v>179</v>
      </c>
      <c r="B11" s="72" t="s">
        <v>1634</v>
      </c>
      <c r="C11" s="73" t="n">
        <f aca="false">COUNTIF('Consolidated Data'!$B$2:$B$231,"Jennifer Saxman")</f>
        <v>11</v>
      </c>
      <c r="D11" s="73" t="n">
        <f aca="false">COUNTIFS('Consolidated Data'!$B$2:$B$231,"Jennifer Saxman",'Consolidated Data'!$AC$2:$AC$231,"Included")</f>
        <v>3</v>
      </c>
      <c r="E11" s="73" t="n">
        <f aca="false">COUNTIFS('Consolidated Data'!$B$2:$B$231,"Jennifer Saxman",'Consolidated Data'!$AC$2:$AC$231,"Included (limited)")</f>
        <v>0</v>
      </c>
      <c r="F11" s="73" t="n">
        <f aca="false">COUNTIFS('Consolidated Data'!$B$2:$B$231,"Jennifer Saxman",'Consolidated Data'!$AC$2:$AC$231,"Available (extra cost)")</f>
        <v>7</v>
      </c>
      <c r="G11" s="73" t="n">
        <f aca="false">COUNTIFS('Consolidated Data'!$B$2:$B$231,"Jennifer Saxman",'Consolidated Data'!$AC$2:$AC$231,"Not provided")</f>
        <v>1</v>
      </c>
      <c r="H11" s="73" t="n">
        <f aca="false">COUNTIFS('Consolidated Data'!$B$2:$B$231,"Jennifer Saxman",'Consolidated Data'!$AC$2:$AC$231,"Not stated")</f>
        <v>0</v>
      </c>
      <c r="I11" s="73" t="n">
        <f aca="false">C11-H11</f>
        <v>11</v>
      </c>
      <c r="J11" s="74" t="n">
        <f aca="false">IF(C11=0,0,I11/C11)</f>
        <v>1</v>
      </c>
      <c r="K11" s="74" t="n">
        <f aca="false">IF(I11=0,0,(D11+E11)/I11)</f>
        <v>0.272727272727273</v>
      </c>
    </row>
    <row r="12" customFormat="false" ht="30" hidden="false" customHeight="true" outlineLevel="0" collapsed="false">
      <c r="A12" s="75" t="s">
        <v>180</v>
      </c>
      <c r="B12" s="76" t="s">
        <v>199</v>
      </c>
      <c r="C12" s="77" t="n">
        <f aca="false">COUNTIF('Consolidated Data'!$B$2:$B$231,"Laura Lopez")</f>
        <v>215</v>
      </c>
      <c r="D12" s="77" t="n">
        <f aca="false">COUNTIFS('Consolidated Data'!$B$2:$B$231,"Laura Lopez",'Consolidated Data'!$AD$2:$AD$231,"Included")</f>
        <v>60</v>
      </c>
      <c r="E12" s="77" t="n">
        <f aca="false">COUNTIFS('Consolidated Data'!$B$2:$B$231,"Laura Lopez",'Consolidated Data'!$AD$2:$AD$231,"Included (limited)")</f>
        <v>0</v>
      </c>
      <c r="F12" s="77" t="n">
        <f aca="false">COUNTIFS('Consolidated Data'!$B$2:$B$231,"Laura Lopez",'Consolidated Data'!$AD$2:$AD$231,"Available (extra cost)")</f>
        <v>9</v>
      </c>
      <c r="G12" s="77" t="n">
        <f aca="false">COUNTIFS('Consolidated Data'!$B$2:$B$231,"Laura Lopez",'Consolidated Data'!$AD$2:$AD$231,"Not provided")</f>
        <v>0</v>
      </c>
      <c r="H12" s="77" t="n">
        <f aca="false">COUNTIFS('Consolidated Data'!$B$2:$B$231,"Laura Lopez",'Consolidated Data'!$AD$2:$AD$231,"Not stated")</f>
        <v>146</v>
      </c>
      <c r="I12" s="77" t="n">
        <f aca="false">C12-H12</f>
        <v>69</v>
      </c>
      <c r="J12" s="78" t="n">
        <f aca="false">IF(C12=0,0,I12/C12)</f>
        <v>0.32093023255814</v>
      </c>
      <c r="K12" s="78" t="n">
        <f aca="false">IF(I12=0,0,(D12+E12)/I12)</f>
        <v>0.869565217391304</v>
      </c>
    </row>
    <row r="13" customFormat="false" ht="30" hidden="false" customHeight="true" outlineLevel="0" collapsed="false">
      <c r="A13" s="75" t="s">
        <v>180</v>
      </c>
      <c r="B13" s="76" t="s">
        <v>1634</v>
      </c>
      <c r="C13" s="77" t="n">
        <f aca="false">COUNTIF('Consolidated Data'!$B$2:$B$231,"Jennifer Saxman")</f>
        <v>11</v>
      </c>
      <c r="D13" s="77" t="n">
        <f aca="false">COUNTIFS('Consolidated Data'!$B$2:$B$231,"Jennifer Saxman",'Consolidated Data'!$AD$2:$AD$231,"Included")</f>
        <v>6</v>
      </c>
      <c r="E13" s="77" t="n">
        <f aca="false">COUNTIFS('Consolidated Data'!$B$2:$B$231,"Jennifer Saxman",'Consolidated Data'!$AD$2:$AD$231,"Included (limited)")</f>
        <v>0</v>
      </c>
      <c r="F13" s="77" t="n">
        <f aca="false">COUNTIFS('Consolidated Data'!$B$2:$B$231,"Jennifer Saxman",'Consolidated Data'!$AD$2:$AD$231,"Available (extra cost)")</f>
        <v>5</v>
      </c>
      <c r="G13" s="77" t="n">
        <f aca="false">COUNTIFS('Consolidated Data'!$B$2:$B$231,"Jennifer Saxman",'Consolidated Data'!$AD$2:$AD$231,"Not provided")</f>
        <v>0</v>
      </c>
      <c r="H13" s="77" t="n">
        <f aca="false">COUNTIFS('Consolidated Data'!$B$2:$B$231,"Jennifer Saxman",'Consolidated Data'!$AD$2:$AD$231,"Not stated")</f>
        <v>0</v>
      </c>
      <c r="I13" s="77" t="n">
        <f aca="false">C13-H13</f>
        <v>11</v>
      </c>
      <c r="J13" s="78" t="n">
        <f aca="false">IF(C13=0,0,I13/C13)</f>
        <v>1</v>
      </c>
      <c r="K13" s="78" t="n">
        <f aca="false">IF(I13=0,0,(D13+E13)/I13)</f>
        <v>0.545454545454545</v>
      </c>
    </row>
    <row r="14" customFormat="false" ht="30" hidden="false" customHeight="true" outlineLevel="0" collapsed="false">
      <c r="A14" s="34" t="s">
        <v>181</v>
      </c>
      <c r="B14" s="72" t="s">
        <v>199</v>
      </c>
      <c r="C14" s="73" t="n">
        <f aca="false">COUNTIF('Consolidated Data'!$B$2:$B$231,"Laura Lopez")</f>
        <v>215</v>
      </c>
      <c r="D14" s="73" t="n">
        <f aca="false">COUNTIFS('Consolidated Data'!$B$2:$B$231,"Laura Lopez",'Consolidated Data'!$AE$2:$AE$231,"Included")</f>
        <v>48</v>
      </c>
      <c r="E14" s="73" t="n">
        <f aca="false">COUNTIFS('Consolidated Data'!$B$2:$B$231,"Laura Lopez",'Consolidated Data'!$AE$2:$AE$231,"Included (limited)")</f>
        <v>0</v>
      </c>
      <c r="F14" s="73" t="n">
        <f aca="false">COUNTIFS('Consolidated Data'!$B$2:$B$231,"Laura Lopez",'Consolidated Data'!$AE$2:$AE$231,"Available (extra cost)")</f>
        <v>12</v>
      </c>
      <c r="G14" s="73" t="n">
        <f aca="false">COUNTIFS('Consolidated Data'!$B$2:$B$231,"Laura Lopez",'Consolidated Data'!$AE$2:$AE$231,"Not provided")</f>
        <v>0</v>
      </c>
      <c r="H14" s="73" t="n">
        <f aca="false">COUNTIFS('Consolidated Data'!$B$2:$B$231,"Laura Lopez",'Consolidated Data'!$AE$2:$AE$231,"Not stated")</f>
        <v>155</v>
      </c>
      <c r="I14" s="73" t="n">
        <f aca="false">C14-H14</f>
        <v>60</v>
      </c>
      <c r="J14" s="74" t="n">
        <f aca="false">IF(C14=0,0,I14/C14)</f>
        <v>0.27906976744186</v>
      </c>
      <c r="K14" s="74" t="n">
        <f aca="false">IF(I14=0,0,(D14+E14)/I14)</f>
        <v>0.8</v>
      </c>
    </row>
    <row r="15" customFormat="false" ht="30" hidden="false" customHeight="true" outlineLevel="0" collapsed="false">
      <c r="A15" s="34" t="s">
        <v>181</v>
      </c>
      <c r="B15" s="72" t="s">
        <v>1634</v>
      </c>
      <c r="C15" s="73" t="n">
        <f aca="false">COUNTIF('Consolidated Data'!$B$2:$B$231,"Jennifer Saxman")</f>
        <v>11</v>
      </c>
      <c r="D15" s="73" t="n">
        <f aca="false">COUNTIFS('Consolidated Data'!$B$2:$B$231,"Jennifer Saxman",'Consolidated Data'!$AE$2:$AE$231,"Included")</f>
        <v>7</v>
      </c>
      <c r="E15" s="73" t="n">
        <f aca="false">COUNTIFS('Consolidated Data'!$B$2:$B$231,"Jennifer Saxman",'Consolidated Data'!$AE$2:$AE$231,"Included (limited)")</f>
        <v>1</v>
      </c>
      <c r="F15" s="73" t="n">
        <f aca="false">COUNTIFS('Consolidated Data'!$B$2:$B$231,"Jennifer Saxman",'Consolidated Data'!$AE$2:$AE$231,"Available (extra cost)")</f>
        <v>3</v>
      </c>
      <c r="G15" s="73" t="n">
        <f aca="false">COUNTIFS('Consolidated Data'!$B$2:$B$231,"Jennifer Saxman",'Consolidated Data'!$AE$2:$AE$231,"Not provided")</f>
        <v>0</v>
      </c>
      <c r="H15" s="73" t="n">
        <f aca="false">COUNTIFS('Consolidated Data'!$B$2:$B$231,"Jennifer Saxman",'Consolidated Data'!$AE$2:$AE$231,"Not stated")</f>
        <v>0</v>
      </c>
      <c r="I15" s="73" t="n">
        <f aca="false">C15-H15</f>
        <v>11</v>
      </c>
      <c r="J15" s="74" t="n">
        <f aca="false">IF(C15=0,0,I15/C15)</f>
        <v>1</v>
      </c>
      <c r="K15" s="74" t="n">
        <f aca="false">IF(I15=0,0,(D15+E15)/I15)</f>
        <v>0.727272727272727</v>
      </c>
    </row>
    <row r="16" customFormat="false" ht="30" hidden="false" customHeight="true" outlineLevel="0" collapsed="false">
      <c r="A16" s="75" t="s">
        <v>182</v>
      </c>
      <c r="B16" s="76" t="s">
        <v>199</v>
      </c>
      <c r="C16" s="77" t="n">
        <f aca="false">COUNTIF('Consolidated Data'!$B$2:$B$231,"Laura Lopez")</f>
        <v>215</v>
      </c>
      <c r="D16" s="77" t="n">
        <f aca="false">COUNTIFS('Consolidated Data'!$B$2:$B$231,"Laura Lopez",'Consolidated Data'!$AF$2:$AF$231,"Included")</f>
        <v>74</v>
      </c>
      <c r="E16" s="77" t="n">
        <f aca="false">COUNTIFS('Consolidated Data'!$B$2:$B$231,"Laura Lopez",'Consolidated Data'!$AF$2:$AF$231,"Included (limited)")</f>
        <v>0</v>
      </c>
      <c r="F16" s="77" t="n">
        <f aca="false">COUNTIFS('Consolidated Data'!$B$2:$B$231,"Laura Lopez",'Consolidated Data'!$AF$2:$AF$231,"Available (extra cost)")</f>
        <v>2</v>
      </c>
      <c r="G16" s="77" t="n">
        <f aca="false">COUNTIFS('Consolidated Data'!$B$2:$B$231,"Laura Lopez",'Consolidated Data'!$AF$2:$AF$231,"Not provided")</f>
        <v>0</v>
      </c>
      <c r="H16" s="77" t="n">
        <f aca="false">COUNTIFS('Consolidated Data'!$B$2:$B$231,"Laura Lopez",'Consolidated Data'!$AF$2:$AF$231,"Not stated")</f>
        <v>139</v>
      </c>
      <c r="I16" s="77" t="n">
        <f aca="false">C16-H16</f>
        <v>76</v>
      </c>
      <c r="J16" s="78" t="n">
        <f aca="false">IF(C16=0,0,I16/C16)</f>
        <v>0.353488372093023</v>
      </c>
      <c r="K16" s="78" t="n">
        <f aca="false">IF(I16=0,0,(D16+E16)/I16)</f>
        <v>0.973684210526316</v>
      </c>
    </row>
    <row r="17" customFormat="false" ht="30" hidden="false" customHeight="true" outlineLevel="0" collapsed="false">
      <c r="A17" s="75" t="s">
        <v>182</v>
      </c>
      <c r="B17" s="76" t="s">
        <v>1634</v>
      </c>
      <c r="C17" s="77" t="n">
        <f aca="false">COUNTIF('Consolidated Data'!$B$2:$B$231,"Jennifer Saxman")</f>
        <v>11</v>
      </c>
      <c r="D17" s="77" t="n">
        <f aca="false">COUNTIFS('Consolidated Data'!$B$2:$B$231,"Jennifer Saxman",'Consolidated Data'!$AF$2:$AF$231,"Included")</f>
        <v>9</v>
      </c>
      <c r="E17" s="77" t="n">
        <f aca="false">COUNTIFS('Consolidated Data'!$B$2:$B$231,"Jennifer Saxman",'Consolidated Data'!$AF$2:$AF$231,"Included (limited)")</f>
        <v>0</v>
      </c>
      <c r="F17" s="77" t="n">
        <f aca="false">COUNTIFS('Consolidated Data'!$B$2:$B$231,"Jennifer Saxman",'Consolidated Data'!$AF$2:$AF$231,"Available (extra cost)")</f>
        <v>2</v>
      </c>
      <c r="G17" s="77" t="n">
        <f aca="false">COUNTIFS('Consolidated Data'!$B$2:$B$231,"Jennifer Saxman",'Consolidated Data'!$AF$2:$AF$231,"Not provided")</f>
        <v>0</v>
      </c>
      <c r="H17" s="77" t="n">
        <f aca="false">COUNTIFS('Consolidated Data'!$B$2:$B$231,"Jennifer Saxman",'Consolidated Data'!$AF$2:$AF$231,"Not stated")</f>
        <v>0</v>
      </c>
      <c r="I17" s="77" t="n">
        <f aca="false">C17-H17</f>
        <v>11</v>
      </c>
      <c r="J17" s="78" t="n">
        <f aca="false">IF(C17=0,0,I17/C17)</f>
        <v>1</v>
      </c>
      <c r="K17" s="78" t="n">
        <f aca="false">IF(I17=0,0,(D17+E17)/I17)</f>
        <v>0.818181818181818</v>
      </c>
    </row>
    <row r="18" customFormat="false" ht="30" hidden="false" customHeight="true" outlineLevel="0" collapsed="false">
      <c r="A18" s="34" t="s">
        <v>183</v>
      </c>
      <c r="B18" s="72" t="s">
        <v>199</v>
      </c>
      <c r="C18" s="73" t="n">
        <f aca="false">COUNTIF('Consolidated Data'!$B$2:$B$231,"Laura Lopez")</f>
        <v>215</v>
      </c>
      <c r="D18" s="73" t="n">
        <f aca="false">COUNTIFS('Consolidated Data'!$B$2:$B$231,"Laura Lopez",'Consolidated Data'!$AG$2:$AG$231,"Included")</f>
        <v>102</v>
      </c>
      <c r="E18" s="73" t="n">
        <f aca="false">COUNTIFS('Consolidated Data'!$B$2:$B$231,"Laura Lopez",'Consolidated Data'!$AG$2:$AG$231,"Included (limited)")</f>
        <v>0</v>
      </c>
      <c r="F18" s="73" t="n">
        <f aca="false">COUNTIFS('Consolidated Data'!$B$2:$B$231,"Laura Lopez",'Consolidated Data'!$AG$2:$AG$231,"Available (extra cost)")</f>
        <v>1</v>
      </c>
      <c r="G18" s="73" t="n">
        <f aca="false">COUNTIFS('Consolidated Data'!$B$2:$B$231,"Laura Lopez",'Consolidated Data'!$AG$2:$AG$231,"Not provided")</f>
        <v>0</v>
      </c>
      <c r="H18" s="73" t="n">
        <f aca="false">COUNTIFS('Consolidated Data'!$B$2:$B$231,"Laura Lopez",'Consolidated Data'!$AG$2:$AG$231,"Not stated")</f>
        <v>112</v>
      </c>
      <c r="I18" s="73" t="n">
        <f aca="false">C18-H18</f>
        <v>103</v>
      </c>
      <c r="J18" s="74" t="n">
        <f aca="false">IF(C18=0,0,I18/C18)</f>
        <v>0.479069767441861</v>
      </c>
      <c r="K18" s="74" t="n">
        <f aca="false">IF(I18=0,0,(D18+E18)/I18)</f>
        <v>0.990291262135922</v>
      </c>
    </row>
    <row r="19" customFormat="false" ht="30" hidden="false" customHeight="true" outlineLevel="0" collapsed="false">
      <c r="A19" s="34" t="s">
        <v>183</v>
      </c>
      <c r="B19" s="72" t="s">
        <v>1634</v>
      </c>
      <c r="C19" s="73" t="n">
        <f aca="false">COUNTIF('Consolidated Data'!$B$2:$B$231,"Jennifer Saxman")</f>
        <v>11</v>
      </c>
      <c r="D19" s="73" t="n">
        <f aca="false">COUNTIFS('Consolidated Data'!$B$2:$B$231,"Jennifer Saxman",'Consolidated Data'!$AG$2:$AG$231,"Included")</f>
        <v>11</v>
      </c>
      <c r="E19" s="73" t="n">
        <f aca="false">COUNTIFS('Consolidated Data'!$B$2:$B$231,"Jennifer Saxman",'Consolidated Data'!$AG$2:$AG$231,"Included (limited)")</f>
        <v>0</v>
      </c>
      <c r="F19" s="73" t="n">
        <f aca="false">COUNTIFS('Consolidated Data'!$B$2:$B$231,"Jennifer Saxman",'Consolidated Data'!$AG$2:$AG$231,"Available (extra cost)")</f>
        <v>0</v>
      </c>
      <c r="G19" s="73" t="n">
        <f aca="false">COUNTIFS('Consolidated Data'!$B$2:$B$231,"Jennifer Saxman",'Consolidated Data'!$AG$2:$AG$231,"Not provided")</f>
        <v>0</v>
      </c>
      <c r="H19" s="73" t="n">
        <f aca="false">COUNTIFS('Consolidated Data'!$B$2:$B$231,"Jennifer Saxman",'Consolidated Data'!$AG$2:$AG$231,"Not stated")</f>
        <v>0</v>
      </c>
      <c r="I19" s="73" t="n">
        <f aca="false">C19-H19</f>
        <v>11</v>
      </c>
      <c r="J19" s="74" t="n">
        <f aca="false">IF(C19=0,0,I19/C19)</f>
        <v>1</v>
      </c>
      <c r="K19" s="74" t="n">
        <f aca="false">IF(I19=0,0,(D19+E19)/I19)</f>
        <v>1</v>
      </c>
    </row>
    <row r="20" customFormat="false" ht="30" hidden="false" customHeight="true" outlineLevel="0" collapsed="false">
      <c r="A20" s="75" t="s">
        <v>184</v>
      </c>
      <c r="B20" s="76" t="s">
        <v>199</v>
      </c>
      <c r="C20" s="77" t="n">
        <f aca="false">COUNTIF('Consolidated Data'!$B$2:$B$231,"Laura Lopez")</f>
        <v>215</v>
      </c>
      <c r="D20" s="77" t="n">
        <f aca="false">COUNTIFS('Consolidated Data'!$B$2:$B$231,"Laura Lopez",'Consolidated Data'!$AH$2:$AH$231,"Included")</f>
        <v>118</v>
      </c>
      <c r="E20" s="77" t="n">
        <f aca="false">COUNTIFS('Consolidated Data'!$B$2:$B$231,"Laura Lopez",'Consolidated Data'!$AH$2:$AH$231,"Included (limited)")</f>
        <v>0</v>
      </c>
      <c r="F20" s="77" t="n">
        <f aca="false">COUNTIFS('Consolidated Data'!$B$2:$B$231,"Laura Lopez",'Consolidated Data'!$AH$2:$AH$231,"Available (extra cost)")</f>
        <v>2</v>
      </c>
      <c r="G20" s="77" t="n">
        <f aca="false">COUNTIFS('Consolidated Data'!$B$2:$B$231,"Laura Lopez",'Consolidated Data'!$AH$2:$AH$231,"Not provided")</f>
        <v>0</v>
      </c>
      <c r="H20" s="77" t="n">
        <f aca="false">COUNTIFS('Consolidated Data'!$B$2:$B$231,"Laura Lopez",'Consolidated Data'!$AH$2:$AH$231,"Not stated")</f>
        <v>95</v>
      </c>
      <c r="I20" s="77" t="n">
        <f aca="false">C20-H20</f>
        <v>120</v>
      </c>
      <c r="J20" s="78" t="n">
        <f aca="false">IF(C20=0,0,I20/C20)</f>
        <v>0.558139534883721</v>
      </c>
      <c r="K20" s="78" t="n">
        <f aca="false">IF(I20=0,0,(D20+E20)/I20)</f>
        <v>0.983333333333333</v>
      </c>
    </row>
    <row r="21" customFormat="false" ht="30" hidden="false" customHeight="true" outlineLevel="0" collapsed="false">
      <c r="A21" s="75" t="s">
        <v>184</v>
      </c>
      <c r="B21" s="76" t="s">
        <v>1634</v>
      </c>
      <c r="C21" s="77" t="n">
        <f aca="false">COUNTIF('Consolidated Data'!$B$2:$B$231,"Jennifer Saxman")</f>
        <v>11</v>
      </c>
      <c r="D21" s="77" t="n">
        <f aca="false">COUNTIFS('Consolidated Data'!$B$2:$B$231,"Jennifer Saxman",'Consolidated Data'!$AH$2:$AH$231,"Included")</f>
        <v>11</v>
      </c>
      <c r="E21" s="77" t="n">
        <f aca="false">COUNTIFS('Consolidated Data'!$B$2:$B$231,"Jennifer Saxman",'Consolidated Data'!$AH$2:$AH$231,"Included (limited)")</f>
        <v>0</v>
      </c>
      <c r="F21" s="77" t="n">
        <f aca="false">COUNTIFS('Consolidated Data'!$B$2:$B$231,"Jennifer Saxman",'Consolidated Data'!$AH$2:$AH$231,"Available (extra cost)")</f>
        <v>0</v>
      </c>
      <c r="G21" s="77" t="n">
        <f aca="false">COUNTIFS('Consolidated Data'!$B$2:$B$231,"Jennifer Saxman",'Consolidated Data'!$AH$2:$AH$231,"Not provided")</f>
        <v>0</v>
      </c>
      <c r="H21" s="77" t="n">
        <f aca="false">COUNTIFS('Consolidated Data'!$B$2:$B$231,"Jennifer Saxman",'Consolidated Data'!$AH$2:$AH$231,"Not stated")</f>
        <v>0</v>
      </c>
      <c r="I21" s="77" t="n">
        <f aca="false">C21-H21</f>
        <v>11</v>
      </c>
      <c r="J21" s="78" t="n">
        <f aca="false">IF(C21=0,0,I21/C21)</f>
        <v>1</v>
      </c>
      <c r="K21" s="78" t="n">
        <f aca="false">IF(I21=0,0,(D21+E21)/I21)</f>
        <v>1</v>
      </c>
    </row>
    <row r="22" customFormat="false" ht="30" hidden="false" customHeight="true" outlineLevel="0" collapsed="false">
      <c r="A22" s="34" t="s">
        <v>185</v>
      </c>
      <c r="B22" s="72" t="s">
        <v>199</v>
      </c>
      <c r="C22" s="73" t="n">
        <f aca="false">COUNTIF('Consolidated Data'!$B$2:$B$231,"Laura Lopez")</f>
        <v>215</v>
      </c>
      <c r="D22" s="73" t="n">
        <f aca="false">COUNTIFS('Consolidated Data'!$B$2:$B$231,"Laura Lopez",'Consolidated Data'!$AI$2:$AI$231,"Included")</f>
        <v>10</v>
      </c>
      <c r="E22" s="73" t="n">
        <f aca="false">COUNTIFS('Consolidated Data'!$B$2:$B$231,"Laura Lopez",'Consolidated Data'!$AI$2:$AI$231,"Included (limited)")</f>
        <v>0</v>
      </c>
      <c r="F22" s="73" t="n">
        <f aca="false">COUNTIFS('Consolidated Data'!$B$2:$B$231,"Laura Lopez",'Consolidated Data'!$AI$2:$AI$231,"Available (extra cost)")</f>
        <v>4</v>
      </c>
      <c r="G22" s="73" t="n">
        <f aca="false">COUNTIFS('Consolidated Data'!$B$2:$B$231,"Laura Lopez",'Consolidated Data'!$AI$2:$AI$231,"Not provided")</f>
        <v>0</v>
      </c>
      <c r="H22" s="73" t="n">
        <f aca="false">COUNTIFS('Consolidated Data'!$B$2:$B$231,"Laura Lopez",'Consolidated Data'!$AI$2:$AI$231,"Not stated")</f>
        <v>201</v>
      </c>
      <c r="I22" s="73" t="n">
        <f aca="false">C22-H22</f>
        <v>14</v>
      </c>
      <c r="J22" s="74" t="n">
        <f aca="false">IF(C22=0,0,I22/C22)</f>
        <v>0.0651162790697674</v>
      </c>
      <c r="K22" s="74" t="n">
        <f aca="false">IF(I22=0,0,(D22+E22)/I22)</f>
        <v>0.714285714285714</v>
      </c>
    </row>
    <row r="23" customFormat="false" ht="30" hidden="false" customHeight="true" outlineLevel="0" collapsed="false">
      <c r="A23" s="34" t="s">
        <v>185</v>
      </c>
      <c r="B23" s="72" t="s">
        <v>1634</v>
      </c>
      <c r="C23" s="73" t="n">
        <f aca="false">COUNTIF('Consolidated Data'!$B$2:$B$231,"Jennifer Saxman")</f>
        <v>11</v>
      </c>
      <c r="D23" s="73" t="n">
        <f aca="false">COUNTIFS('Consolidated Data'!$B$2:$B$231,"Jennifer Saxman",'Consolidated Data'!$AI$2:$AI$231,"Included")</f>
        <v>5</v>
      </c>
      <c r="E23" s="73" t="n">
        <f aca="false">COUNTIFS('Consolidated Data'!$B$2:$B$231,"Jennifer Saxman",'Consolidated Data'!$AI$2:$AI$231,"Included (limited)")</f>
        <v>1</v>
      </c>
      <c r="F23" s="73" t="n">
        <f aca="false">COUNTIFS('Consolidated Data'!$B$2:$B$231,"Jennifer Saxman",'Consolidated Data'!$AI$2:$AI$231,"Available (extra cost)")</f>
        <v>5</v>
      </c>
      <c r="G23" s="73" t="n">
        <f aca="false">COUNTIFS('Consolidated Data'!$B$2:$B$231,"Jennifer Saxman",'Consolidated Data'!$AI$2:$AI$231,"Not provided")</f>
        <v>0</v>
      </c>
      <c r="H23" s="73" t="n">
        <f aca="false">COUNTIFS('Consolidated Data'!$B$2:$B$231,"Jennifer Saxman",'Consolidated Data'!$AI$2:$AI$231,"Not stated")</f>
        <v>0</v>
      </c>
      <c r="I23" s="73" t="n">
        <f aca="false">C23-H23</f>
        <v>11</v>
      </c>
      <c r="J23" s="74" t="n">
        <f aca="false">IF(C23=0,0,I23/C23)</f>
        <v>1</v>
      </c>
      <c r="K23" s="74" t="n">
        <f aca="false">IF(I23=0,0,(D23+E23)/I23)</f>
        <v>0.545454545454545</v>
      </c>
    </row>
    <row r="24" customFormat="false" ht="42" hidden="false" customHeight="true" outlineLevel="0" collapsed="false">
      <c r="A24" s="79" t="s">
        <v>1745</v>
      </c>
      <c r="B24" s="79"/>
      <c r="C24" s="79"/>
      <c r="D24" s="79"/>
      <c r="E24" s="79"/>
      <c r="F24" s="79"/>
      <c r="G24" s="79"/>
      <c r="H24" s="79"/>
      <c r="I24" s="79"/>
      <c r="J24" s="79"/>
      <c r="K24" s="79"/>
    </row>
    <row r="26" customFormat="false" ht="15" hidden="false" customHeight="false" outlineLevel="0" collapsed="false">
      <c r="A26" s="7" t="s">
        <v>1746</v>
      </c>
    </row>
    <row r="27" customFormat="false" ht="15" hidden="false" customHeight="false" outlineLevel="0" collapsed="false">
      <c r="A27" s="3" t="s">
        <v>1747</v>
      </c>
      <c r="B27" s="3" t="s">
        <v>1748</v>
      </c>
      <c r="C27" s="3" t="s">
        <v>1749</v>
      </c>
    </row>
    <row r="28" customFormat="false" ht="15" hidden="false" customHeight="false" outlineLevel="0" collapsed="false">
      <c r="A28" s="5" t="s">
        <v>1750</v>
      </c>
      <c r="B28" s="5" t="n">
        <f aca="false">COUNTIFS('Consolidated Data'!$B$2:$B$231,"Laura Lopez",'Consolidated Data'!$K$2:$K$231,"&gt;0")</f>
        <v>54</v>
      </c>
      <c r="C28" s="5" t="s">
        <v>1751</v>
      </c>
    </row>
    <row r="29" customFormat="false" ht="15" hidden="false" customHeight="false" outlineLevel="0" collapsed="false">
      <c r="A29" s="5" t="s">
        <v>1752</v>
      </c>
      <c r="B29" s="80" t="n">
        <f aca="false">MIN('Consolidated Data'!$K$2:$K$216)</f>
        <v>515</v>
      </c>
      <c r="C29" s="5" t="s">
        <v>1753</v>
      </c>
    </row>
    <row r="30" customFormat="false" ht="23.85" hidden="false" customHeight="false" outlineLevel="0" collapsed="false">
      <c r="A30" s="5" t="s">
        <v>1754</v>
      </c>
      <c r="B30" s="80" t="n">
        <f aca="false">MEDIAN('Consolidated Data'!$K$2:$K$216)</f>
        <v>2799.5</v>
      </c>
      <c r="C30" s="5" t="s">
        <v>1755</v>
      </c>
    </row>
    <row r="31" customFormat="false" ht="15" hidden="false" customHeight="false" outlineLevel="0" collapsed="false">
      <c r="A31" s="5" t="s">
        <v>1756</v>
      </c>
      <c r="B31" s="80" t="n">
        <f aca="false">MAX('Consolidated Data'!$L$2:$L$216)</f>
        <v>6900</v>
      </c>
      <c r="C31" s="5" t="s">
        <v>1757</v>
      </c>
    </row>
    <row r="32" customFormat="false" ht="23.85" hidden="false" customHeight="false" outlineLevel="0" collapsed="false">
      <c r="A32" s="5" t="s">
        <v>1758</v>
      </c>
      <c r="B32" s="5" t="n">
        <f aca="false">COUNTIFS('Consolidated Data'!$B$2:$B$231,"Laura Lopez",'Consolidated Data'!$M$2:$M$231,"Yes")</f>
        <v>63</v>
      </c>
      <c r="C32" s="5" t="s">
        <v>1759</v>
      </c>
    </row>
    <row r="33" customFormat="false" ht="15" hidden="false" customHeight="false" outlineLevel="0" collapsed="false">
      <c r="A33" s="5" t="s">
        <v>1760</v>
      </c>
      <c r="B33" s="5" t="n">
        <f aca="false">COUNTIFS('Consolidated Data'!$B$2:$B$231,"Laura Lopez",'Consolidated Data'!$M$2:$M$231,"CCRC (entry fee not stated)")</f>
        <v>35</v>
      </c>
      <c r="C33" s="5" t="s">
        <v>1759</v>
      </c>
    </row>
    <row r="34" customFormat="false" ht="15" hidden="false" customHeight="false" outlineLevel="0" collapsed="false">
      <c r="A34" s="5" t="s">
        <v>1761</v>
      </c>
      <c r="B34" s="5" t="s">
        <v>1762</v>
      </c>
      <c r="C34" s="5" t="s">
        <v>1763</v>
      </c>
    </row>
    <row r="35" customFormat="false" ht="15" hidden="false" customHeight="false" outlineLevel="0" collapsed="false">
      <c r="A35" s="5" t="s">
        <v>1764</v>
      </c>
      <c r="B35" s="5" t="s">
        <v>1765</v>
      </c>
      <c r="C35" s="5" t="s">
        <v>1766</v>
      </c>
    </row>
    <row r="36" customFormat="false" ht="15" hidden="false" customHeight="false" outlineLevel="0" collapsed="false">
      <c r="A36" s="5" t="s">
        <v>1767</v>
      </c>
      <c r="B36" s="5" t="s">
        <v>1768</v>
      </c>
      <c r="C36" s="5" t="s">
        <v>1766</v>
      </c>
    </row>
    <row r="37" customFormat="false" ht="23.85" hidden="false" customHeight="false" outlineLevel="0" collapsed="false">
      <c r="A37" s="5" t="s">
        <v>1769</v>
      </c>
      <c r="B37" s="5" t="s">
        <v>1770</v>
      </c>
      <c r="C37" s="5" t="s">
        <v>1771</v>
      </c>
    </row>
    <row r="38" customFormat="false" ht="15" hidden="false" customHeight="false" outlineLevel="0" collapsed="false">
      <c r="A38" s="5" t="s">
        <v>1772</v>
      </c>
      <c r="B38" s="5" t="s">
        <v>1773</v>
      </c>
      <c r="C38" s="5" t="s">
        <v>1766</v>
      </c>
    </row>
    <row r="39" customFormat="false" ht="15" hidden="false" customHeight="false" outlineLevel="0" collapsed="false">
      <c r="A39" s="5" t="s">
        <v>1774</v>
      </c>
      <c r="B39" s="5" t="s">
        <v>1775</v>
      </c>
      <c r="C39" s="5" t="s">
        <v>1766</v>
      </c>
    </row>
    <row r="40" customFormat="false" ht="23.85" hidden="false" customHeight="false" outlineLevel="0" collapsed="false">
      <c r="A40" s="5" t="s">
        <v>1776</v>
      </c>
      <c r="B40" s="5" t="s">
        <v>1777</v>
      </c>
      <c r="C40" s="5" t="s">
        <v>1778</v>
      </c>
    </row>
    <row r="41" customFormat="false" ht="23.85" hidden="false" customHeight="false" outlineLevel="0" collapsed="false">
      <c r="A41" s="5" t="s">
        <v>1779</v>
      </c>
      <c r="B41" s="5" t="s">
        <v>1780</v>
      </c>
      <c r="C41" s="5" t="s">
        <v>1781</v>
      </c>
    </row>
    <row r="42" customFormat="false" ht="54" hidden="false" customHeight="true" outlineLevel="0" collapsed="false">
      <c r="A42" s="79" t="s">
        <v>1782</v>
      </c>
      <c r="B42" s="79"/>
      <c r="C42" s="79"/>
    </row>
    <row r="44" customFormat="false" ht="15" hidden="false" customHeight="false" outlineLevel="0" collapsed="false">
      <c r="A44" s="7" t="s">
        <v>1783</v>
      </c>
    </row>
    <row r="45" customFormat="false" ht="23.85" hidden="false" customHeight="false" outlineLevel="0" collapsed="false">
      <c r="A45" s="3" t="s">
        <v>64</v>
      </c>
      <c r="B45" s="3" t="s">
        <v>1784</v>
      </c>
      <c r="C45" s="3" t="s">
        <v>1785</v>
      </c>
      <c r="D45" s="3" t="s">
        <v>1786</v>
      </c>
      <c r="E45" s="3" t="s">
        <v>1787</v>
      </c>
      <c r="F45" s="3" t="s">
        <v>1788</v>
      </c>
    </row>
    <row r="46" customFormat="false" ht="169.5" hidden="false" customHeight="true" outlineLevel="0" collapsed="false">
      <c r="A46" s="4" t="s">
        <v>106</v>
      </c>
      <c r="B46" s="72" t="s">
        <v>1789</v>
      </c>
      <c r="C46" s="72" t="s">
        <v>1790</v>
      </c>
      <c r="D46" s="72" t="s">
        <v>1791</v>
      </c>
      <c r="E46" s="72" t="s">
        <v>1792</v>
      </c>
      <c r="F46" s="25" t="s">
        <v>1793</v>
      </c>
    </row>
    <row r="47" customFormat="false" ht="169.5" hidden="false" customHeight="true" outlineLevel="0" collapsed="false">
      <c r="A47" s="4" t="s">
        <v>178</v>
      </c>
      <c r="B47" s="76" t="s">
        <v>1794</v>
      </c>
      <c r="C47" s="76" t="s">
        <v>1795</v>
      </c>
      <c r="D47" s="76" t="s">
        <v>1796</v>
      </c>
      <c r="E47" s="76" t="s">
        <v>1797</v>
      </c>
      <c r="F47" s="25" t="s">
        <v>1798</v>
      </c>
    </row>
    <row r="48" customFormat="false" ht="169.5" hidden="false" customHeight="true" outlineLevel="0" collapsed="false">
      <c r="A48" s="4" t="s">
        <v>179</v>
      </c>
      <c r="B48" s="72" t="s">
        <v>1799</v>
      </c>
      <c r="C48" s="72" t="s">
        <v>1800</v>
      </c>
      <c r="D48" s="72" t="s">
        <v>1801</v>
      </c>
      <c r="E48" s="72" t="s">
        <v>1802</v>
      </c>
      <c r="F48" s="25" t="s">
        <v>1803</v>
      </c>
    </row>
    <row r="49" customFormat="false" ht="169.5" hidden="false" customHeight="true" outlineLevel="0" collapsed="false">
      <c r="A49" s="4" t="s">
        <v>180</v>
      </c>
      <c r="B49" s="76" t="s">
        <v>1804</v>
      </c>
      <c r="C49" s="76" t="s">
        <v>1805</v>
      </c>
      <c r="D49" s="76" t="s">
        <v>1806</v>
      </c>
      <c r="E49" s="76" t="s">
        <v>1807</v>
      </c>
      <c r="F49" s="25" t="s">
        <v>1808</v>
      </c>
    </row>
    <row r="50" customFormat="false" ht="169.5" hidden="false" customHeight="true" outlineLevel="0" collapsed="false">
      <c r="A50" s="4" t="s">
        <v>181</v>
      </c>
      <c r="B50" s="72" t="s">
        <v>1809</v>
      </c>
      <c r="C50" s="72" t="s">
        <v>1810</v>
      </c>
      <c r="D50" s="72" t="s">
        <v>1811</v>
      </c>
      <c r="E50" s="72" t="s">
        <v>1812</v>
      </c>
      <c r="F50" s="25" t="s">
        <v>1813</v>
      </c>
    </row>
    <row r="51" customFormat="false" ht="169.5" hidden="false" customHeight="true" outlineLevel="0" collapsed="false">
      <c r="A51" s="4" t="s">
        <v>182</v>
      </c>
      <c r="B51" s="76" t="s">
        <v>1814</v>
      </c>
      <c r="C51" s="76" t="s">
        <v>1815</v>
      </c>
      <c r="D51" s="76" t="s">
        <v>1816</v>
      </c>
      <c r="E51" s="76" t="s">
        <v>1817</v>
      </c>
      <c r="F51" s="25" t="s">
        <v>1818</v>
      </c>
    </row>
    <row r="52" customFormat="false" ht="169.5" hidden="false" customHeight="true" outlineLevel="0" collapsed="false">
      <c r="A52" s="4" t="s">
        <v>183</v>
      </c>
      <c r="B52" s="72" t="s">
        <v>1819</v>
      </c>
      <c r="C52" s="72" t="s">
        <v>1820</v>
      </c>
      <c r="D52" s="72" t="s">
        <v>1816</v>
      </c>
      <c r="E52" s="72" t="s">
        <v>1821</v>
      </c>
      <c r="F52" s="25" t="s">
        <v>1822</v>
      </c>
    </row>
    <row r="53" customFormat="false" ht="169.5" hidden="false" customHeight="true" outlineLevel="0" collapsed="false">
      <c r="A53" s="4" t="s">
        <v>184</v>
      </c>
      <c r="B53" s="76" t="s">
        <v>1823</v>
      </c>
      <c r="C53" s="76" t="s">
        <v>1824</v>
      </c>
      <c r="D53" s="76" t="s">
        <v>1816</v>
      </c>
      <c r="E53" s="76" t="s">
        <v>1825</v>
      </c>
      <c r="F53" s="25" t="s">
        <v>1826</v>
      </c>
    </row>
    <row r="54" customFormat="false" ht="169.5" hidden="false" customHeight="true" outlineLevel="0" collapsed="false">
      <c r="A54" s="4" t="s">
        <v>185</v>
      </c>
      <c r="B54" s="72" t="s">
        <v>1827</v>
      </c>
      <c r="C54" s="72" t="s">
        <v>1828</v>
      </c>
      <c r="D54" s="72" t="s">
        <v>1811</v>
      </c>
      <c r="E54" s="72" t="s">
        <v>1829</v>
      </c>
      <c r="F54" s="25" t="s">
        <v>1830</v>
      </c>
    </row>
    <row r="56" customFormat="false" ht="15" hidden="false" customHeight="false" outlineLevel="0" collapsed="false">
      <c r="A56" s="7" t="s">
        <v>1831</v>
      </c>
    </row>
    <row r="57" customFormat="false" ht="31.5" hidden="false" customHeight="true" outlineLevel="0" collapsed="false">
      <c r="A57" s="14" t="s">
        <v>1832</v>
      </c>
      <c r="B57" s="14"/>
      <c r="C57" s="14"/>
      <c r="D57" s="14"/>
      <c r="E57" s="14"/>
      <c r="F57" s="14"/>
    </row>
    <row r="58" customFormat="false" ht="31.5" hidden="false" customHeight="true" outlineLevel="0" collapsed="false">
      <c r="A58" s="14" t="s">
        <v>1833</v>
      </c>
      <c r="B58" s="14"/>
      <c r="C58" s="14"/>
      <c r="D58" s="14"/>
      <c r="E58" s="14"/>
      <c r="F58" s="14"/>
    </row>
    <row r="59" customFormat="false" ht="31.5" hidden="false" customHeight="true" outlineLevel="0" collapsed="false">
      <c r="A59" s="14" t="s">
        <v>1834</v>
      </c>
      <c r="B59" s="14"/>
      <c r="C59" s="14"/>
      <c r="D59" s="14"/>
      <c r="E59" s="14"/>
      <c r="F59" s="14"/>
    </row>
    <row r="60" customFormat="false" ht="31.5" hidden="false" customHeight="true" outlineLevel="0" collapsed="false">
      <c r="A60" s="14" t="s">
        <v>1835</v>
      </c>
      <c r="B60" s="14"/>
      <c r="C60" s="14"/>
      <c r="D60" s="14"/>
      <c r="E60" s="14"/>
      <c r="F60" s="14"/>
    </row>
    <row r="61" customFormat="false" ht="31.5" hidden="false" customHeight="true" outlineLevel="0" collapsed="false">
      <c r="A61" s="14" t="s">
        <v>1836</v>
      </c>
      <c r="B61" s="14"/>
      <c r="C61" s="14"/>
      <c r="D61" s="14"/>
      <c r="E61" s="14"/>
      <c r="F61" s="14"/>
    </row>
    <row r="62" customFormat="false" ht="31.5" hidden="false" customHeight="true" outlineLevel="0" collapsed="false">
      <c r="A62" s="14" t="s">
        <v>1837</v>
      </c>
      <c r="B62" s="14"/>
      <c r="C62" s="14"/>
      <c r="D62" s="14"/>
      <c r="E62" s="14"/>
      <c r="F62" s="14"/>
    </row>
    <row r="63" customFormat="false" ht="31.5" hidden="false" customHeight="true" outlineLevel="0" collapsed="false">
      <c r="A63" s="14" t="s">
        <v>1838</v>
      </c>
      <c r="B63" s="14"/>
      <c r="C63" s="14"/>
      <c r="D63" s="14"/>
      <c r="E63" s="14"/>
      <c r="F63" s="14"/>
    </row>
    <row r="64" customFormat="false" ht="31.5" hidden="false" customHeight="true" outlineLevel="0" collapsed="false">
      <c r="A64" s="14" t="s">
        <v>1839</v>
      </c>
      <c r="B64" s="14"/>
      <c r="C64" s="14"/>
      <c r="D64" s="14"/>
      <c r="E64" s="14"/>
      <c r="F64" s="14"/>
    </row>
    <row r="65" customFormat="false" ht="31.5" hidden="false" customHeight="true" outlineLevel="0" collapsed="false">
      <c r="A65" s="14" t="s">
        <v>1840</v>
      </c>
      <c r="B65" s="14"/>
      <c r="C65" s="14"/>
      <c r="D65" s="14"/>
      <c r="E65" s="14"/>
      <c r="F65" s="14"/>
    </row>
    <row r="66" customFormat="false" ht="31.5" hidden="false" customHeight="true" outlineLevel="0" collapsed="false">
      <c r="A66" s="14" t="s">
        <v>1841</v>
      </c>
      <c r="B66" s="14"/>
      <c r="C66" s="14"/>
      <c r="D66" s="14"/>
      <c r="E66" s="14"/>
      <c r="F66" s="14"/>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56"/>
    <col collapsed="false" customWidth="true" hidden="false" outlineLevel="0" max="4" min="4" style="0" width="44"/>
    <col collapsed="false" customWidth="true" hidden="false" outlineLevel="0" max="5" min="5" style="0" width="60"/>
    <col collapsed="false" customWidth="true" hidden="false" outlineLevel="0" max="6" min="6" style="0" width="44"/>
  </cols>
  <sheetData>
    <row r="1" customFormat="false" ht="17.35" hidden="false" customHeight="false" outlineLevel="0" collapsed="false">
      <c r="A1" s="70" t="s">
        <v>1842</v>
      </c>
    </row>
    <row r="2" customFormat="false" ht="55.5" hidden="false" customHeight="true" outlineLevel="0" collapsed="false">
      <c r="A2" s="79" t="s">
        <v>1843</v>
      </c>
      <c r="B2" s="79"/>
      <c r="C2" s="79"/>
      <c r="D2" s="79"/>
      <c r="E2" s="79"/>
      <c r="F2" s="79"/>
    </row>
    <row r="4" customFormat="false" ht="45.75" hidden="false" customHeight="true" outlineLevel="0" collapsed="false">
      <c r="A4" s="3" t="s">
        <v>64</v>
      </c>
      <c r="B4" s="3" t="s">
        <v>1844</v>
      </c>
      <c r="C4" s="3" t="s">
        <v>1845</v>
      </c>
      <c r="D4" s="3" t="s">
        <v>1846</v>
      </c>
      <c r="E4" s="3" t="s">
        <v>1847</v>
      </c>
      <c r="F4" s="3" t="s">
        <v>1848</v>
      </c>
    </row>
    <row r="5" customFormat="false" ht="85.5" hidden="false" customHeight="true" outlineLevel="0" collapsed="false">
      <c r="A5" s="81" t="s">
        <v>106</v>
      </c>
      <c r="B5" s="82" t="s">
        <v>35</v>
      </c>
      <c r="C5" s="83" t="s">
        <v>1849</v>
      </c>
      <c r="D5" s="83" t="s">
        <v>1850</v>
      </c>
      <c r="E5" s="84" t="s">
        <v>1851</v>
      </c>
      <c r="F5" s="84" t="s">
        <v>1852</v>
      </c>
    </row>
    <row r="6" customFormat="false" ht="85.5" hidden="false" customHeight="true" outlineLevel="0" collapsed="false">
      <c r="A6" s="81"/>
      <c r="B6" s="85" t="s">
        <v>37</v>
      </c>
      <c r="C6" s="11" t="s">
        <v>1853</v>
      </c>
      <c r="D6" s="11" t="s">
        <v>1854</v>
      </c>
      <c r="E6" s="84"/>
      <c r="F6" s="84"/>
    </row>
    <row r="7" customFormat="false" ht="85.5" hidden="false" customHeight="true" outlineLevel="0" collapsed="false">
      <c r="A7" s="81"/>
      <c r="B7" s="86" t="s">
        <v>39</v>
      </c>
      <c r="C7" s="13" t="s">
        <v>1855</v>
      </c>
      <c r="D7" s="13" t="s">
        <v>1856</v>
      </c>
      <c r="E7" s="84"/>
      <c r="F7" s="84"/>
    </row>
    <row r="8" customFormat="false" ht="85.5" hidden="false" customHeight="true" outlineLevel="0" collapsed="false">
      <c r="A8" s="87" t="s">
        <v>178</v>
      </c>
      <c r="B8" s="82" t="s">
        <v>35</v>
      </c>
      <c r="C8" s="83" t="s">
        <v>1857</v>
      </c>
      <c r="D8" s="83" t="s">
        <v>1858</v>
      </c>
      <c r="E8" s="88" t="s">
        <v>1859</v>
      </c>
      <c r="F8" s="88" t="s">
        <v>1860</v>
      </c>
    </row>
    <row r="9" customFormat="false" ht="85.5" hidden="false" customHeight="true" outlineLevel="0" collapsed="false">
      <c r="A9" s="87"/>
      <c r="B9" s="85" t="s">
        <v>37</v>
      </c>
      <c r="C9" s="11" t="s">
        <v>1861</v>
      </c>
      <c r="D9" s="11" t="s">
        <v>1862</v>
      </c>
      <c r="E9" s="88"/>
      <c r="F9" s="88"/>
    </row>
    <row r="10" customFormat="false" ht="85.5" hidden="false" customHeight="true" outlineLevel="0" collapsed="false">
      <c r="A10" s="87"/>
      <c r="B10" s="86" t="s">
        <v>39</v>
      </c>
      <c r="C10" s="13" t="s">
        <v>1863</v>
      </c>
      <c r="D10" s="13" t="s">
        <v>1864</v>
      </c>
      <c r="E10" s="88"/>
      <c r="F10" s="88"/>
    </row>
    <row r="11" customFormat="false" ht="85.5" hidden="false" customHeight="true" outlineLevel="0" collapsed="false">
      <c r="A11" s="81" t="s">
        <v>179</v>
      </c>
      <c r="B11" s="82" t="s">
        <v>35</v>
      </c>
      <c r="C11" s="83" t="s">
        <v>1865</v>
      </c>
      <c r="D11" s="83" t="s">
        <v>1866</v>
      </c>
      <c r="E11" s="84" t="s">
        <v>1867</v>
      </c>
      <c r="F11" s="84" t="s">
        <v>1868</v>
      </c>
    </row>
    <row r="12" customFormat="false" ht="85.5" hidden="false" customHeight="true" outlineLevel="0" collapsed="false">
      <c r="A12" s="81"/>
      <c r="B12" s="85" t="s">
        <v>37</v>
      </c>
      <c r="C12" s="11" t="s">
        <v>1869</v>
      </c>
      <c r="D12" s="11" t="s">
        <v>1870</v>
      </c>
      <c r="E12" s="84"/>
      <c r="F12" s="84"/>
    </row>
    <row r="13" customFormat="false" ht="85.5" hidden="false" customHeight="true" outlineLevel="0" collapsed="false">
      <c r="A13" s="81"/>
      <c r="B13" s="86" t="s">
        <v>39</v>
      </c>
      <c r="C13" s="13" t="s">
        <v>1871</v>
      </c>
      <c r="D13" s="13" t="s">
        <v>1872</v>
      </c>
      <c r="E13" s="84"/>
      <c r="F13" s="84"/>
    </row>
    <row r="14" customFormat="false" ht="85.5" hidden="false" customHeight="true" outlineLevel="0" collapsed="false">
      <c r="A14" s="87" t="s">
        <v>92</v>
      </c>
      <c r="B14" s="82" t="s">
        <v>35</v>
      </c>
      <c r="C14" s="83" t="s">
        <v>1873</v>
      </c>
      <c r="D14" s="83" t="s">
        <v>1874</v>
      </c>
      <c r="E14" s="88" t="s">
        <v>1875</v>
      </c>
      <c r="F14" s="88" t="s">
        <v>1876</v>
      </c>
    </row>
    <row r="15" customFormat="false" ht="85.5" hidden="false" customHeight="true" outlineLevel="0" collapsed="false">
      <c r="A15" s="87"/>
      <c r="B15" s="85" t="s">
        <v>37</v>
      </c>
      <c r="C15" s="11" t="s">
        <v>1877</v>
      </c>
      <c r="D15" s="11" t="s">
        <v>1878</v>
      </c>
      <c r="E15" s="88"/>
      <c r="F15" s="88"/>
    </row>
    <row r="16" customFormat="false" ht="85.5" hidden="false" customHeight="true" outlineLevel="0" collapsed="false">
      <c r="A16" s="87"/>
      <c r="B16" s="86" t="s">
        <v>39</v>
      </c>
      <c r="C16" s="13" t="s">
        <v>1879</v>
      </c>
      <c r="D16" s="13" t="s">
        <v>1880</v>
      </c>
      <c r="E16" s="88"/>
      <c r="F16" s="88"/>
    </row>
    <row r="17" customFormat="false" ht="85.5" hidden="false" customHeight="true" outlineLevel="0" collapsed="false">
      <c r="A17" s="81" t="s">
        <v>127</v>
      </c>
      <c r="B17" s="82" t="s">
        <v>35</v>
      </c>
      <c r="C17" s="83" t="s">
        <v>1881</v>
      </c>
      <c r="D17" s="83" t="s">
        <v>1882</v>
      </c>
      <c r="E17" s="84" t="s">
        <v>1883</v>
      </c>
      <c r="F17" s="84" t="s">
        <v>1884</v>
      </c>
    </row>
    <row r="18" customFormat="false" ht="85.5" hidden="false" customHeight="true" outlineLevel="0" collapsed="false">
      <c r="A18" s="81"/>
      <c r="B18" s="85" t="s">
        <v>37</v>
      </c>
      <c r="C18" s="11" t="s">
        <v>1885</v>
      </c>
      <c r="D18" s="11" t="s">
        <v>1886</v>
      </c>
      <c r="E18" s="84"/>
      <c r="F18" s="84"/>
    </row>
    <row r="19" customFormat="false" ht="85.5" hidden="false" customHeight="true" outlineLevel="0" collapsed="false">
      <c r="A19" s="81"/>
      <c r="B19" s="86" t="s">
        <v>39</v>
      </c>
      <c r="C19" s="13" t="s">
        <v>1887</v>
      </c>
      <c r="D19" s="13" t="s">
        <v>1888</v>
      </c>
      <c r="E19" s="84"/>
      <c r="F19" s="84"/>
    </row>
    <row r="20" customFormat="false" ht="85.5" hidden="false" customHeight="true" outlineLevel="0" collapsed="false">
      <c r="A20" s="87" t="s">
        <v>181</v>
      </c>
      <c r="B20" s="82" t="s">
        <v>35</v>
      </c>
      <c r="C20" s="83" t="s">
        <v>1889</v>
      </c>
      <c r="D20" s="83" t="s">
        <v>1890</v>
      </c>
      <c r="E20" s="88" t="s">
        <v>1891</v>
      </c>
      <c r="F20" s="88" t="s">
        <v>1892</v>
      </c>
    </row>
    <row r="21" customFormat="false" ht="85.5" hidden="false" customHeight="true" outlineLevel="0" collapsed="false">
      <c r="A21" s="87"/>
      <c r="B21" s="85" t="s">
        <v>37</v>
      </c>
      <c r="C21" s="11" t="s">
        <v>1893</v>
      </c>
      <c r="D21" s="11" t="s">
        <v>1894</v>
      </c>
      <c r="E21" s="88"/>
      <c r="F21" s="88"/>
    </row>
    <row r="22" customFormat="false" ht="85.5" hidden="false" customHeight="true" outlineLevel="0" collapsed="false">
      <c r="A22" s="87"/>
      <c r="B22" s="86" t="s">
        <v>39</v>
      </c>
      <c r="C22" s="13" t="s">
        <v>1895</v>
      </c>
      <c r="D22" s="13" t="s">
        <v>1896</v>
      </c>
      <c r="E22" s="88"/>
      <c r="F22" s="88"/>
    </row>
    <row r="23" customFormat="false" ht="85.5" hidden="false" customHeight="true" outlineLevel="0" collapsed="false">
      <c r="A23" s="81" t="s">
        <v>182</v>
      </c>
      <c r="B23" s="82" t="s">
        <v>35</v>
      </c>
      <c r="C23" s="83" t="s">
        <v>1897</v>
      </c>
      <c r="D23" s="83" t="s">
        <v>1898</v>
      </c>
      <c r="E23" s="84" t="s">
        <v>1899</v>
      </c>
      <c r="F23" s="84" t="s">
        <v>1900</v>
      </c>
    </row>
    <row r="24" customFormat="false" ht="85.5" hidden="false" customHeight="true" outlineLevel="0" collapsed="false">
      <c r="A24" s="81"/>
      <c r="B24" s="85" t="s">
        <v>37</v>
      </c>
      <c r="C24" s="11" t="s">
        <v>1901</v>
      </c>
      <c r="D24" s="11" t="s">
        <v>1902</v>
      </c>
      <c r="E24" s="84"/>
      <c r="F24" s="84"/>
    </row>
    <row r="25" customFormat="false" ht="85.5" hidden="false" customHeight="true" outlineLevel="0" collapsed="false">
      <c r="A25" s="81"/>
      <c r="B25" s="86" t="s">
        <v>39</v>
      </c>
      <c r="C25" s="13" t="s">
        <v>1903</v>
      </c>
      <c r="D25" s="13" t="s">
        <v>1904</v>
      </c>
      <c r="E25" s="84"/>
      <c r="F25" s="84"/>
    </row>
    <row r="26" customFormat="false" ht="85.5" hidden="false" customHeight="true" outlineLevel="0" collapsed="false">
      <c r="A26" s="87" t="s">
        <v>183</v>
      </c>
      <c r="B26" s="82" t="s">
        <v>35</v>
      </c>
      <c r="C26" s="83" t="s">
        <v>1905</v>
      </c>
      <c r="D26" s="83" t="s">
        <v>1906</v>
      </c>
      <c r="E26" s="88" t="s">
        <v>1907</v>
      </c>
      <c r="F26" s="88" t="s">
        <v>1908</v>
      </c>
    </row>
    <row r="27" customFormat="false" ht="85.5" hidden="false" customHeight="true" outlineLevel="0" collapsed="false">
      <c r="A27" s="87"/>
      <c r="B27" s="85" t="s">
        <v>37</v>
      </c>
      <c r="C27" s="11" t="s">
        <v>1909</v>
      </c>
      <c r="D27" s="11" t="s">
        <v>1910</v>
      </c>
      <c r="E27" s="88"/>
      <c r="F27" s="88"/>
    </row>
    <row r="28" customFormat="false" ht="85.5" hidden="false" customHeight="true" outlineLevel="0" collapsed="false">
      <c r="A28" s="87"/>
      <c r="B28" s="86" t="s">
        <v>39</v>
      </c>
      <c r="C28" s="13" t="s">
        <v>1911</v>
      </c>
      <c r="D28" s="13" t="s">
        <v>1912</v>
      </c>
      <c r="E28" s="88"/>
      <c r="F28" s="88"/>
    </row>
    <row r="29" customFormat="false" ht="85.5" hidden="false" customHeight="true" outlineLevel="0" collapsed="false">
      <c r="A29" s="81" t="s">
        <v>184</v>
      </c>
      <c r="B29" s="82" t="s">
        <v>35</v>
      </c>
      <c r="C29" s="83" t="s">
        <v>1913</v>
      </c>
      <c r="D29" s="83" t="s">
        <v>1914</v>
      </c>
      <c r="E29" s="84" t="s">
        <v>1915</v>
      </c>
      <c r="F29" s="84" t="s">
        <v>1916</v>
      </c>
    </row>
    <row r="30" customFormat="false" ht="85.5" hidden="false" customHeight="true" outlineLevel="0" collapsed="false">
      <c r="A30" s="81"/>
      <c r="B30" s="85" t="s">
        <v>37</v>
      </c>
      <c r="C30" s="11" t="s">
        <v>1917</v>
      </c>
      <c r="D30" s="11" t="s">
        <v>1918</v>
      </c>
      <c r="E30" s="84"/>
      <c r="F30" s="84"/>
    </row>
    <row r="31" customFormat="false" ht="85.5" hidden="false" customHeight="true" outlineLevel="0" collapsed="false">
      <c r="A31" s="81"/>
      <c r="B31" s="86" t="s">
        <v>39</v>
      </c>
      <c r="C31" s="13" t="s">
        <v>1919</v>
      </c>
      <c r="D31" s="13" t="s">
        <v>1920</v>
      </c>
      <c r="E31" s="84"/>
      <c r="F31" s="84"/>
    </row>
    <row r="32" customFormat="false" ht="85.5" hidden="false" customHeight="true" outlineLevel="0" collapsed="false">
      <c r="A32" s="87" t="s">
        <v>134</v>
      </c>
      <c r="B32" s="82" t="s">
        <v>35</v>
      </c>
      <c r="C32" s="83" t="s">
        <v>1921</v>
      </c>
      <c r="D32" s="83" t="s">
        <v>1922</v>
      </c>
      <c r="E32" s="88" t="s">
        <v>1923</v>
      </c>
      <c r="F32" s="88" t="s">
        <v>1924</v>
      </c>
    </row>
    <row r="33" customFormat="false" ht="85.5" hidden="false" customHeight="true" outlineLevel="0" collapsed="false">
      <c r="A33" s="87"/>
      <c r="B33" s="85" t="s">
        <v>37</v>
      </c>
      <c r="C33" s="11" t="s">
        <v>1925</v>
      </c>
      <c r="D33" s="11" t="s">
        <v>1926</v>
      </c>
      <c r="E33" s="88"/>
      <c r="F33" s="88"/>
    </row>
    <row r="34" customFormat="false" ht="85.5" hidden="false" customHeight="true" outlineLevel="0" collapsed="false">
      <c r="A34" s="87"/>
      <c r="B34" s="86" t="s">
        <v>39</v>
      </c>
      <c r="C34" s="13" t="s">
        <v>1927</v>
      </c>
      <c r="D34" s="13" t="s">
        <v>1928</v>
      </c>
      <c r="E34" s="88"/>
      <c r="F34" s="88"/>
    </row>
    <row r="36" customFormat="false" ht="15" hidden="false" customHeight="false" outlineLevel="0" collapsed="false">
      <c r="A36" s="7" t="s">
        <v>1929</v>
      </c>
    </row>
    <row r="37" customFormat="false" ht="15" hidden="false" customHeight="false" outlineLevel="0" collapsed="false">
      <c r="A37" s="3" t="s">
        <v>1930</v>
      </c>
      <c r="B37" s="89" t="s">
        <v>35</v>
      </c>
      <c r="C37" s="90" t="s">
        <v>37</v>
      </c>
      <c r="D37" s="91" t="s">
        <v>39</v>
      </c>
    </row>
    <row r="38" customFormat="false" ht="61.5" hidden="false" customHeight="true" outlineLevel="0" collapsed="false">
      <c r="A38" s="31" t="s">
        <v>1931</v>
      </c>
      <c r="B38" s="9" t="s">
        <v>1932</v>
      </c>
      <c r="C38" s="11" t="s">
        <v>1933</v>
      </c>
      <c r="D38" s="13" t="s">
        <v>1933</v>
      </c>
    </row>
    <row r="39" customFormat="false" ht="61.5" hidden="false" customHeight="true" outlineLevel="0" collapsed="false">
      <c r="A39" s="33" t="s">
        <v>92</v>
      </c>
      <c r="B39" s="9" t="s">
        <v>1934</v>
      </c>
      <c r="C39" s="11" t="s">
        <v>1935</v>
      </c>
      <c r="D39" s="13" t="s">
        <v>1936</v>
      </c>
    </row>
    <row r="40" customFormat="false" ht="61.5" hidden="false" customHeight="true" outlineLevel="0" collapsed="false">
      <c r="A40" s="31" t="s">
        <v>1937</v>
      </c>
      <c r="B40" s="9" t="s">
        <v>1938</v>
      </c>
      <c r="C40" s="11" t="s">
        <v>1939</v>
      </c>
      <c r="D40" s="13" t="s">
        <v>1940</v>
      </c>
    </row>
    <row r="41" customFormat="false" ht="61.5" hidden="false" customHeight="true" outlineLevel="0" collapsed="false">
      <c r="A41" s="33" t="s">
        <v>1263</v>
      </c>
      <c r="B41" s="9" t="s">
        <v>1941</v>
      </c>
      <c r="C41" s="11" t="s">
        <v>1942</v>
      </c>
      <c r="D41" s="13" t="s">
        <v>1943</v>
      </c>
    </row>
    <row r="42" customFormat="false" ht="61.5" hidden="false" customHeight="true" outlineLevel="0" collapsed="false">
      <c r="A42" s="31" t="s">
        <v>106</v>
      </c>
      <c r="B42" s="9" t="s">
        <v>1944</v>
      </c>
      <c r="C42" s="11" t="s">
        <v>1945</v>
      </c>
      <c r="D42" s="13" t="s">
        <v>1946</v>
      </c>
    </row>
    <row r="43" customFormat="false" ht="61.5" hidden="false" customHeight="true" outlineLevel="0" collapsed="false">
      <c r="A43" s="33" t="s">
        <v>1947</v>
      </c>
      <c r="B43" s="9" t="s">
        <v>1948</v>
      </c>
      <c r="C43" s="11" t="s">
        <v>1949</v>
      </c>
      <c r="D43" s="13" t="s">
        <v>1950</v>
      </c>
    </row>
    <row r="44" customFormat="false" ht="61.5" hidden="false" customHeight="true" outlineLevel="0" collapsed="false">
      <c r="A44" s="31" t="s">
        <v>1951</v>
      </c>
      <c r="B44" s="9" t="s">
        <v>1952</v>
      </c>
      <c r="C44" s="11" t="s">
        <v>1953</v>
      </c>
      <c r="D44" s="13" t="s">
        <v>1954</v>
      </c>
    </row>
    <row r="45" customFormat="false" ht="61.5" hidden="false" customHeight="true" outlineLevel="0" collapsed="false">
      <c r="A45" s="33" t="s">
        <v>1955</v>
      </c>
      <c r="B45" s="9" t="s">
        <v>1956</v>
      </c>
      <c r="C45" s="11" t="s">
        <v>1957</v>
      </c>
      <c r="D45" s="13" t="s">
        <v>1958</v>
      </c>
    </row>
    <row r="46" customFormat="false" ht="61.5" hidden="false" customHeight="true" outlineLevel="0" collapsed="false">
      <c r="A46" s="31" t="s">
        <v>1959</v>
      </c>
      <c r="B46" s="9" t="s">
        <v>1960</v>
      </c>
      <c r="C46" s="11" t="s">
        <v>1961</v>
      </c>
      <c r="D46" s="13" t="s">
        <v>1962</v>
      </c>
    </row>
  </sheetData>
  <autoFilter ref="A4:F34"/>
  <mergeCells count="31">
    <mergeCell ref="A2:F2"/>
    <mergeCell ref="A5:A7"/>
    <mergeCell ref="E5:E7"/>
    <mergeCell ref="F5:F7"/>
    <mergeCell ref="A8:A10"/>
    <mergeCell ref="E8:E10"/>
    <mergeCell ref="F8:F10"/>
    <mergeCell ref="A11:A13"/>
    <mergeCell ref="E11:E13"/>
    <mergeCell ref="F11:F13"/>
    <mergeCell ref="A14:A16"/>
    <mergeCell ref="E14:E16"/>
    <mergeCell ref="F14:F16"/>
    <mergeCell ref="A17:A19"/>
    <mergeCell ref="E17:E19"/>
    <mergeCell ref="F17:F19"/>
    <mergeCell ref="A20:A22"/>
    <mergeCell ref="E20:E22"/>
    <mergeCell ref="F20:F22"/>
    <mergeCell ref="A23:A25"/>
    <mergeCell ref="E23:E25"/>
    <mergeCell ref="F23:F25"/>
    <mergeCell ref="A26:A28"/>
    <mergeCell ref="E26:E28"/>
    <mergeCell ref="F26:F28"/>
    <mergeCell ref="A29:A31"/>
    <mergeCell ref="E29:E31"/>
    <mergeCell ref="F29:F31"/>
    <mergeCell ref="A32:A34"/>
    <mergeCell ref="E32:E34"/>
    <mergeCell ref="F32: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52"/>
    <col collapsed="false" customWidth="true" hidden="false" outlineLevel="0" max="4" min="4" style="0" width="34"/>
    <col collapsed="false" customWidth="true" hidden="false" outlineLevel="0" max="5" min="5" style="0" width="9"/>
    <col collapsed="false" customWidth="true" hidden="false" outlineLevel="0" max="6" min="6" style="0" width="60"/>
    <col collapsed="false" customWidth="true" hidden="false" outlineLevel="0" max="7" min="7" style="0" width="22"/>
  </cols>
  <sheetData>
    <row r="1" customFormat="false" ht="19.7" hidden="false" customHeight="false" outlineLevel="0" collapsed="false">
      <c r="A1" s="1" t="s">
        <v>1963</v>
      </c>
    </row>
    <row r="2" customFormat="false" ht="61.5" hidden="false" customHeight="true" outlineLevel="0" collapsed="false">
      <c r="A2" s="2" t="s">
        <v>1964</v>
      </c>
      <c r="B2" s="2"/>
      <c r="C2" s="2"/>
      <c r="D2" s="2"/>
      <c r="E2" s="2"/>
      <c r="F2" s="2"/>
      <c r="G2" s="2"/>
    </row>
    <row r="3" customFormat="false" ht="27.75" hidden="false" customHeight="true" outlineLevel="0" collapsed="false">
      <c r="A3" s="79" t="s">
        <v>1965</v>
      </c>
      <c r="B3" s="79"/>
      <c r="C3" s="79"/>
      <c r="D3" s="79"/>
      <c r="E3" s="79"/>
      <c r="F3" s="79"/>
      <c r="G3" s="79"/>
    </row>
    <row r="5" customFormat="false" ht="43.5" hidden="false" customHeight="true" outlineLevel="0" collapsed="false">
      <c r="A5" s="3" t="s">
        <v>64</v>
      </c>
      <c r="B5" s="3" t="s">
        <v>1844</v>
      </c>
      <c r="C5" s="3" t="s">
        <v>1966</v>
      </c>
      <c r="D5" s="3" t="s">
        <v>1846</v>
      </c>
      <c r="E5" s="89" t="s">
        <v>1967</v>
      </c>
      <c r="F5" s="3" t="s">
        <v>1968</v>
      </c>
      <c r="G5" s="3" t="s">
        <v>1969</v>
      </c>
    </row>
    <row r="6" customFormat="false" ht="97.5" hidden="false" customHeight="true" outlineLevel="0" collapsed="false">
      <c r="A6" s="92" t="s">
        <v>106</v>
      </c>
      <c r="B6" s="89" t="s">
        <v>1970</v>
      </c>
      <c r="C6" s="24" t="s">
        <v>1971</v>
      </c>
      <c r="D6" s="24" t="s">
        <v>1972</v>
      </c>
      <c r="E6" s="93" t="s">
        <v>208</v>
      </c>
      <c r="F6" s="72" t="s">
        <v>1973</v>
      </c>
      <c r="G6" s="94" t="s">
        <v>1974</v>
      </c>
    </row>
    <row r="7" customFormat="false" ht="97.5" hidden="false" customHeight="true" outlineLevel="0" collapsed="false">
      <c r="A7" s="92"/>
      <c r="B7" s="90" t="s">
        <v>1975</v>
      </c>
      <c r="C7" s="26" t="s">
        <v>1976</v>
      </c>
      <c r="D7" s="26" t="s">
        <v>1977</v>
      </c>
      <c r="E7" s="93" t="s">
        <v>208</v>
      </c>
      <c r="F7" s="72" t="s">
        <v>1973</v>
      </c>
      <c r="G7" s="94" t="s">
        <v>1974</v>
      </c>
    </row>
    <row r="8" customFormat="false" ht="97.5" hidden="false" customHeight="true" outlineLevel="0" collapsed="false">
      <c r="A8" s="92"/>
      <c r="B8" s="91" t="s">
        <v>1978</v>
      </c>
      <c r="C8" s="95" t="s">
        <v>1979</v>
      </c>
      <c r="D8" s="95" t="s">
        <v>1980</v>
      </c>
      <c r="E8" s="93" t="s">
        <v>208</v>
      </c>
      <c r="F8" s="72" t="s">
        <v>1973</v>
      </c>
      <c r="G8" s="94" t="s">
        <v>1974</v>
      </c>
    </row>
    <row r="9" customFormat="false" ht="97.5" hidden="false" customHeight="true" outlineLevel="0" collapsed="false">
      <c r="A9" s="96" t="s">
        <v>1981</v>
      </c>
      <c r="B9" s="89" t="s">
        <v>1970</v>
      </c>
      <c r="C9" s="24" t="s">
        <v>1982</v>
      </c>
      <c r="D9" s="24" t="s">
        <v>1972</v>
      </c>
      <c r="E9" s="93" t="s">
        <v>208</v>
      </c>
      <c r="F9" s="76" t="s">
        <v>1973</v>
      </c>
      <c r="G9" s="94" t="s">
        <v>1974</v>
      </c>
    </row>
    <row r="10" customFormat="false" ht="97.5" hidden="false" customHeight="true" outlineLevel="0" collapsed="false">
      <c r="A10" s="96"/>
      <c r="B10" s="90" t="s">
        <v>1975</v>
      </c>
      <c r="C10" s="26" t="s">
        <v>1983</v>
      </c>
      <c r="D10" s="26" t="s">
        <v>1984</v>
      </c>
      <c r="E10" s="93" t="s">
        <v>208</v>
      </c>
      <c r="F10" s="76" t="s">
        <v>1985</v>
      </c>
      <c r="G10" s="94" t="s">
        <v>1986</v>
      </c>
    </row>
    <row r="11" customFormat="false" ht="97.5" hidden="false" customHeight="true" outlineLevel="0" collapsed="false">
      <c r="A11" s="96"/>
      <c r="B11" s="91" t="s">
        <v>1978</v>
      </c>
      <c r="C11" s="95" t="s">
        <v>1987</v>
      </c>
      <c r="D11" s="95" t="s">
        <v>1980</v>
      </c>
      <c r="E11" s="93" t="s">
        <v>208</v>
      </c>
      <c r="F11" s="76" t="s">
        <v>1973</v>
      </c>
      <c r="G11" s="94" t="s">
        <v>1974</v>
      </c>
    </row>
    <row r="12" customFormat="false" ht="97.5" hidden="false" customHeight="true" outlineLevel="0" collapsed="false">
      <c r="A12" s="92" t="s">
        <v>1988</v>
      </c>
      <c r="B12" s="97" t="s">
        <v>1989</v>
      </c>
      <c r="C12" s="98" t="s">
        <v>1990</v>
      </c>
      <c r="D12" s="98" t="s">
        <v>1991</v>
      </c>
      <c r="E12" s="93" t="s">
        <v>208</v>
      </c>
      <c r="F12" s="72" t="s">
        <v>1992</v>
      </c>
      <c r="G12" s="99" t="s">
        <v>1993</v>
      </c>
    </row>
    <row r="13" customFormat="false" ht="97.5" hidden="false" customHeight="true" outlineLevel="0" collapsed="false">
      <c r="A13" s="92"/>
      <c r="B13" s="89" t="s">
        <v>1970</v>
      </c>
      <c r="C13" s="24" t="s">
        <v>1994</v>
      </c>
      <c r="D13" s="24" t="s">
        <v>1995</v>
      </c>
      <c r="E13" s="93" t="s">
        <v>208</v>
      </c>
      <c r="F13" s="72" t="s">
        <v>1996</v>
      </c>
      <c r="G13" s="99" t="s">
        <v>1993</v>
      </c>
    </row>
    <row r="14" customFormat="false" ht="97.5" hidden="false" customHeight="true" outlineLevel="0" collapsed="false">
      <c r="A14" s="92"/>
      <c r="B14" s="90" t="s">
        <v>1975</v>
      </c>
      <c r="C14" s="26" t="s">
        <v>1997</v>
      </c>
      <c r="D14" s="26" t="s">
        <v>1995</v>
      </c>
      <c r="E14" s="93" t="s">
        <v>208</v>
      </c>
      <c r="F14" s="72" t="s">
        <v>1998</v>
      </c>
      <c r="G14" s="99" t="s">
        <v>1993</v>
      </c>
    </row>
    <row r="15" customFormat="false" ht="97.5" hidden="false" customHeight="true" outlineLevel="0" collapsed="false">
      <c r="A15" s="92"/>
      <c r="B15" s="91" t="s">
        <v>1978</v>
      </c>
      <c r="C15" s="95" t="s">
        <v>1999</v>
      </c>
      <c r="D15" s="95" t="s">
        <v>2000</v>
      </c>
      <c r="E15" s="93" t="s">
        <v>208</v>
      </c>
      <c r="F15" s="72" t="s">
        <v>2001</v>
      </c>
      <c r="G15" s="100" t="s">
        <v>2002</v>
      </c>
    </row>
    <row r="16" customFormat="false" ht="97.5" hidden="false" customHeight="true" outlineLevel="0" collapsed="false">
      <c r="A16" s="96" t="s">
        <v>2003</v>
      </c>
      <c r="B16" s="97" t="s">
        <v>1989</v>
      </c>
      <c r="C16" s="98" t="s">
        <v>2004</v>
      </c>
      <c r="D16" s="98" t="s">
        <v>1991</v>
      </c>
      <c r="E16" s="93" t="s">
        <v>208</v>
      </c>
      <c r="F16" s="76" t="s">
        <v>2005</v>
      </c>
      <c r="G16" s="99" t="s">
        <v>1993</v>
      </c>
    </row>
    <row r="17" customFormat="false" ht="97.5" hidden="false" customHeight="true" outlineLevel="0" collapsed="false">
      <c r="A17" s="96"/>
      <c r="B17" s="89" t="s">
        <v>1970</v>
      </c>
      <c r="C17" s="24" t="s">
        <v>2006</v>
      </c>
      <c r="D17" s="24" t="s">
        <v>1995</v>
      </c>
      <c r="E17" s="93" t="s">
        <v>208</v>
      </c>
      <c r="F17" s="76" t="s">
        <v>2007</v>
      </c>
      <c r="G17" s="99" t="s">
        <v>1993</v>
      </c>
    </row>
    <row r="18" customFormat="false" ht="97.5" hidden="false" customHeight="true" outlineLevel="0" collapsed="false">
      <c r="A18" s="96"/>
      <c r="B18" s="90" t="s">
        <v>1975</v>
      </c>
      <c r="C18" s="26" t="s">
        <v>2008</v>
      </c>
      <c r="D18" s="26" t="s">
        <v>2009</v>
      </c>
      <c r="E18" s="93" t="s">
        <v>208</v>
      </c>
      <c r="F18" s="76" t="s">
        <v>2010</v>
      </c>
      <c r="G18" s="100" t="s">
        <v>2011</v>
      </c>
    </row>
    <row r="19" customFormat="false" ht="97.5" hidden="false" customHeight="true" outlineLevel="0" collapsed="false">
      <c r="A19" s="96"/>
      <c r="B19" s="91" t="s">
        <v>1978</v>
      </c>
      <c r="C19" s="95" t="s">
        <v>2012</v>
      </c>
      <c r="D19" s="95" t="s">
        <v>2013</v>
      </c>
      <c r="E19" s="93" t="s">
        <v>208</v>
      </c>
      <c r="F19" s="76" t="s">
        <v>2014</v>
      </c>
      <c r="G19" s="101" t="s">
        <v>2015</v>
      </c>
    </row>
    <row r="20" customFormat="false" ht="97.5" hidden="false" customHeight="true" outlineLevel="0" collapsed="false">
      <c r="A20" s="92" t="s">
        <v>2016</v>
      </c>
      <c r="B20" s="89" t="s">
        <v>1970</v>
      </c>
      <c r="C20" s="24" t="s">
        <v>2017</v>
      </c>
      <c r="D20" s="24" t="s">
        <v>1972</v>
      </c>
      <c r="E20" s="93" t="s">
        <v>208</v>
      </c>
      <c r="F20" s="72" t="s">
        <v>2018</v>
      </c>
      <c r="G20" s="101" t="s">
        <v>2019</v>
      </c>
    </row>
    <row r="21" customFormat="false" ht="97.5" hidden="false" customHeight="true" outlineLevel="0" collapsed="false">
      <c r="A21" s="92"/>
      <c r="B21" s="90" t="s">
        <v>1975</v>
      </c>
      <c r="C21" s="26" t="s">
        <v>2020</v>
      </c>
      <c r="D21" s="26" t="s">
        <v>2021</v>
      </c>
      <c r="E21" s="93" t="s">
        <v>208</v>
      </c>
      <c r="F21" s="72" t="s">
        <v>2018</v>
      </c>
      <c r="G21" s="101" t="s">
        <v>2019</v>
      </c>
    </row>
    <row r="22" customFormat="false" ht="97.5" hidden="false" customHeight="true" outlineLevel="0" collapsed="false">
      <c r="A22" s="92"/>
      <c r="B22" s="91" t="s">
        <v>1978</v>
      </c>
      <c r="C22" s="95" t="s">
        <v>2022</v>
      </c>
      <c r="D22" s="95" t="s">
        <v>1980</v>
      </c>
      <c r="E22" s="93" t="s">
        <v>208</v>
      </c>
      <c r="F22" s="72" t="s">
        <v>2018</v>
      </c>
      <c r="G22" s="101" t="s">
        <v>2019</v>
      </c>
    </row>
    <row r="24" customFormat="false" ht="30" hidden="false" customHeight="true" outlineLevel="0" collapsed="false">
      <c r="A24" s="102" t="s">
        <v>2023</v>
      </c>
      <c r="B24" s="93" t="str">
        <f aca="false">COUNTIF(E6:E22,"Yes")&amp;" of "&amp;COUNTA(E6:E22)&amp;" options carry MIM = Yes"</f>
        <v>17 of 17 options carry MIM = Yes</v>
      </c>
      <c r="C24" s="93"/>
      <c r="D24" s="93"/>
      <c r="E24" s="103" t="str">
        <f aca="false">IF(COUNTIF(E6:E22,"Yes")=COUNTA(E6:E22),"PASS","FAIL")</f>
        <v>PASS</v>
      </c>
      <c r="F24" s="79" t="s">
        <v>2024</v>
      </c>
      <c r="G24" s="79"/>
    </row>
    <row r="26" customFormat="false" ht="27.75" hidden="false" customHeight="true" outlineLevel="0" collapsed="false">
      <c r="A26" s="104" t="s">
        <v>2025</v>
      </c>
      <c r="B26" s="37" t="s">
        <v>1993</v>
      </c>
      <c r="C26" s="44" t="s">
        <v>2026</v>
      </c>
      <c r="D26" s="60" t="s">
        <v>2027</v>
      </c>
      <c r="E26" s="38" t="s">
        <v>2028</v>
      </c>
    </row>
    <row r="28" customFormat="false" ht="15" hidden="false" customHeight="false" outlineLevel="0" collapsed="false">
      <c r="A28" s="7" t="s">
        <v>2029</v>
      </c>
    </row>
    <row r="29" customFormat="false" ht="48" hidden="false" customHeight="true" outlineLevel="0" collapsed="false">
      <c r="A29" s="105" t="s">
        <v>2030</v>
      </c>
      <c r="B29" s="106" t="s">
        <v>2031</v>
      </c>
      <c r="C29" s="106"/>
      <c r="D29" s="106"/>
      <c r="E29" s="106"/>
      <c r="F29" s="106"/>
      <c r="G29" s="106"/>
    </row>
    <row r="30" customFormat="false" ht="48" hidden="false" customHeight="true" outlineLevel="0" collapsed="false">
      <c r="A30" s="105" t="s">
        <v>2032</v>
      </c>
      <c r="B30" s="106" t="s">
        <v>2033</v>
      </c>
      <c r="C30" s="106"/>
      <c r="D30" s="106"/>
      <c r="E30" s="106"/>
      <c r="F30" s="106"/>
      <c r="G30" s="106"/>
    </row>
    <row r="31" customFormat="false" ht="48" hidden="false" customHeight="true" outlineLevel="0" collapsed="false">
      <c r="A31" s="105" t="s">
        <v>2034</v>
      </c>
      <c r="B31" s="106" t="s">
        <v>2035</v>
      </c>
      <c r="C31" s="106"/>
      <c r="D31" s="106"/>
      <c r="E31" s="106"/>
      <c r="F31" s="106"/>
      <c r="G31" s="106"/>
    </row>
    <row r="32" customFormat="false" ht="48" hidden="false" customHeight="true" outlineLevel="0" collapsed="false">
      <c r="A32" s="105" t="s">
        <v>2036</v>
      </c>
      <c r="B32" s="106" t="s">
        <v>2037</v>
      </c>
      <c r="C32" s="106"/>
      <c r="D32" s="106"/>
      <c r="E32" s="106"/>
      <c r="F32" s="106"/>
      <c r="G32" s="106"/>
    </row>
    <row r="34" customFormat="false" ht="15" hidden="false" customHeight="false" outlineLevel="0" collapsed="false">
      <c r="A34" s="7" t="s">
        <v>2038</v>
      </c>
    </row>
    <row r="35" customFormat="false" ht="15" hidden="false" customHeight="true" outlineLevel="0" collapsed="false">
      <c r="A35" s="3" t="s">
        <v>2039</v>
      </c>
      <c r="B35" s="3" t="s">
        <v>2040</v>
      </c>
      <c r="C35" s="3" t="s">
        <v>1969</v>
      </c>
      <c r="D35" s="3"/>
      <c r="E35" s="3"/>
      <c r="F35" s="3"/>
      <c r="G35" s="3"/>
    </row>
    <row r="36" customFormat="false" ht="30" hidden="false" customHeight="true" outlineLevel="0" collapsed="false">
      <c r="A36" s="107" t="s">
        <v>2041</v>
      </c>
      <c r="B36" s="72" t="s">
        <v>2042</v>
      </c>
      <c r="C36" s="72" t="s">
        <v>2043</v>
      </c>
      <c r="D36" s="72"/>
      <c r="E36" s="72"/>
      <c r="F36" s="72"/>
      <c r="G36" s="72"/>
    </row>
    <row r="37" customFormat="false" ht="30" hidden="false" customHeight="true" outlineLevel="0" collapsed="false">
      <c r="A37" s="108" t="s">
        <v>2044</v>
      </c>
      <c r="B37" s="76" t="s">
        <v>2045</v>
      </c>
      <c r="C37" s="76" t="s">
        <v>2046</v>
      </c>
      <c r="D37" s="76"/>
      <c r="E37" s="76"/>
      <c r="F37" s="76"/>
      <c r="G37" s="76"/>
    </row>
    <row r="38" customFormat="false" ht="30" hidden="false" customHeight="true" outlineLevel="0" collapsed="false">
      <c r="A38" s="107" t="s">
        <v>2047</v>
      </c>
      <c r="B38" s="72" t="s">
        <v>2048</v>
      </c>
      <c r="C38" s="72" t="s">
        <v>2049</v>
      </c>
      <c r="D38" s="72"/>
      <c r="E38" s="72"/>
      <c r="F38" s="72"/>
      <c r="G38" s="72"/>
    </row>
    <row r="39" customFormat="false" ht="30" hidden="false" customHeight="true" outlineLevel="0" collapsed="false">
      <c r="A39" s="108" t="s">
        <v>2050</v>
      </c>
      <c r="B39" s="76" t="s">
        <v>2051</v>
      </c>
      <c r="C39" s="76" t="s">
        <v>2052</v>
      </c>
      <c r="D39" s="76"/>
      <c r="E39" s="76"/>
      <c r="F39" s="76"/>
      <c r="G39" s="76"/>
    </row>
    <row r="40" customFormat="false" ht="30" hidden="false" customHeight="true" outlineLevel="0" collapsed="false">
      <c r="A40" s="107" t="s">
        <v>2053</v>
      </c>
      <c r="B40" s="72" t="s">
        <v>2054</v>
      </c>
      <c r="C40" s="72" t="s">
        <v>2055</v>
      </c>
      <c r="D40" s="72"/>
      <c r="E40" s="72"/>
      <c r="F40" s="72"/>
      <c r="G40" s="72"/>
    </row>
    <row r="42" customFormat="false" ht="31.5" hidden="false" customHeight="true" outlineLevel="0" collapsed="false">
      <c r="A42" s="79" t="s">
        <v>2056</v>
      </c>
      <c r="B42" s="79"/>
      <c r="C42" s="79"/>
      <c r="D42" s="79"/>
      <c r="E42" s="79"/>
      <c r="F42" s="79"/>
      <c r="G42" s="79"/>
    </row>
  </sheetData>
  <autoFilter ref="A5:G22"/>
  <mergeCells count="20">
    <mergeCell ref="A2:G2"/>
    <mergeCell ref="A3:G3"/>
    <mergeCell ref="A6:A8"/>
    <mergeCell ref="A9:A11"/>
    <mergeCell ref="A12:A15"/>
    <mergeCell ref="A16:A19"/>
    <mergeCell ref="A20:A22"/>
    <mergeCell ref="B24:D24"/>
    <mergeCell ref="F24:G24"/>
    <mergeCell ref="B29:G29"/>
    <mergeCell ref="B30:G30"/>
    <mergeCell ref="B31:G31"/>
    <mergeCell ref="B32:G32"/>
    <mergeCell ref="C35:G35"/>
    <mergeCell ref="C36:G36"/>
    <mergeCell ref="C37:G37"/>
    <mergeCell ref="C38:G38"/>
    <mergeCell ref="C39:G39"/>
    <mergeCell ref="C40:G40"/>
    <mergeCell ref="A42:G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4" min="3" style="0" width="32"/>
    <col collapsed="false" customWidth="true" hidden="false" outlineLevel="0" max="5" min="5" style="0" width="34"/>
    <col collapsed="false" customWidth="true" hidden="false" outlineLevel="0" max="6" min="6" style="0" width="26"/>
    <col collapsed="false" customWidth="true" hidden="false" outlineLevel="0" max="7" min="7" style="0" width="46"/>
    <col collapsed="false" customWidth="true" hidden="false" outlineLevel="0" max="8" min="8" style="0" width="28"/>
  </cols>
  <sheetData>
    <row r="1" customFormat="false" ht="17.35" hidden="false" customHeight="false" outlineLevel="0" collapsed="false">
      <c r="A1" s="70" t="s">
        <v>2057</v>
      </c>
    </row>
    <row r="2" customFormat="false" ht="43.5" hidden="false" customHeight="true" outlineLevel="0" collapsed="false">
      <c r="A2" s="79" t="s">
        <v>2058</v>
      </c>
      <c r="B2" s="79"/>
      <c r="C2" s="79"/>
      <c r="D2" s="79"/>
      <c r="E2" s="79"/>
      <c r="F2" s="79"/>
      <c r="G2" s="79"/>
      <c r="H2" s="79"/>
    </row>
    <row r="4" customFormat="false" ht="43.5" hidden="false" customHeight="true" outlineLevel="0" collapsed="false">
      <c r="A4" s="3" t="s">
        <v>64</v>
      </c>
      <c r="B4" s="3" t="s">
        <v>2059</v>
      </c>
      <c r="C4" s="89" t="s">
        <v>1970</v>
      </c>
      <c r="D4" s="90" t="s">
        <v>1975</v>
      </c>
      <c r="E4" s="91" t="s">
        <v>1978</v>
      </c>
      <c r="F4" s="3" t="s">
        <v>2060</v>
      </c>
      <c r="G4" s="3" t="s">
        <v>2061</v>
      </c>
      <c r="H4" s="3" t="s">
        <v>2062</v>
      </c>
    </row>
    <row r="5" customFormat="false" ht="54" hidden="false" customHeight="true" outlineLevel="0" collapsed="false">
      <c r="A5" s="109" t="s">
        <v>2063</v>
      </c>
      <c r="B5" s="110" t="s">
        <v>2064</v>
      </c>
      <c r="C5" s="111" t="s">
        <v>216</v>
      </c>
      <c r="D5" s="111" t="s">
        <v>216</v>
      </c>
      <c r="E5" s="111" t="s">
        <v>216</v>
      </c>
      <c r="F5" s="84" t="s">
        <v>2065</v>
      </c>
      <c r="G5" s="84" t="s">
        <v>2066</v>
      </c>
      <c r="H5" s="84" t="s">
        <v>2067</v>
      </c>
    </row>
    <row r="6" customFormat="false" ht="54" hidden="false" customHeight="true" outlineLevel="0" collapsed="false">
      <c r="A6" s="109"/>
      <c r="B6" s="31" t="s">
        <v>2068</v>
      </c>
      <c r="C6" s="36" t="s">
        <v>2069</v>
      </c>
      <c r="D6" s="36" t="s">
        <v>2069</v>
      </c>
      <c r="E6" s="36" t="s">
        <v>2070</v>
      </c>
      <c r="F6" s="72" t="s">
        <v>2065</v>
      </c>
      <c r="G6" s="72" t="s">
        <v>2071</v>
      </c>
      <c r="H6" s="72" t="s">
        <v>2072</v>
      </c>
    </row>
    <row r="7" customFormat="false" ht="54" hidden="false" customHeight="true" outlineLevel="0" collapsed="false">
      <c r="A7" s="109"/>
      <c r="B7" s="31" t="s">
        <v>2073</v>
      </c>
      <c r="C7" s="112" t="s">
        <v>2074</v>
      </c>
      <c r="D7" s="36" t="s">
        <v>2075</v>
      </c>
      <c r="E7" s="36" t="s">
        <v>2076</v>
      </c>
      <c r="F7" s="72" t="s">
        <v>2065</v>
      </c>
      <c r="G7" s="72" t="s">
        <v>2077</v>
      </c>
      <c r="H7" s="72" t="s">
        <v>2078</v>
      </c>
    </row>
    <row r="8" customFormat="false" ht="54" hidden="false" customHeight="true" outlineLevel="0" collapsed="false">
      <c r="A8" s="109"/>
      <c r="B8" s="31" t="s">
        <v>2079</v>
      </c>
      <c r="C8" s="112" t="s">
        <v>1991</v>
      </c>
      <c r="D8" s="43" t="s">
        <v>2080</v>
      </c>
      <c r="E8" s="43" t="s">
        <v>2081</v>
      </c>
      <c r="F8" s="72" t="s">
        <v>2065</v>
      </c>
      <c r="G8" s="72" t="s">
        <v>2082</v>
      </c>
      <c r="H8" s="72" t="s">
        <v>2083</v>
      </c>
    </row>
    <row r="9" customFormat="false" ht="54" hidden="false" customHeight="true" outlineLevel="0" collapsed="false">
      <c r="A9" s="109"/>
      <c r="B9" s="31" t="s">
        <v>2084</v>
      </c>
      <c r="C9" s="112" t="s">
        <v>1991</v>
      </c>
      <c r="D9" s="43" t="s">
        <v>2085</v>
      </c>
      <c r="E9" s="36" t="s">
        <v>2086</v>
      </c>
      <c r="F9" s="72" t="s">
        <v>2087</v>
      </c>
      <c r="G9" s="72" t="s">
        <v>2088</v>
      </c>
      <c r="H9" s="72" t="s">
        <v>2089</v>
      </c>
    </row>
    <row r="10" customFormat="false" ht="54" hidden="false" customHeight="true" outlineLevel="0" collapsed="false">
      <c r="A10" s="109"/>
      <c r="B10" s="31" t="s">
        <v>2090</v>
      </c>
      <c r="C10" s="112" t="s">
        <v>1991</v>
      </c>
      <c r="D10" s="112" t="s">
        <v>1991</v>
      </c>
      <c r="E10" s="36" t="s">
        <v>216</v>
      </c>
      <c r="F10" s="72" t="s">
        <v>2065</v>
      </c>
      <c r="G10" s="72" t="s">
        <v>2091</v>
      </c>
      <c r="H10" s="72" t="s">
        <v>2092</v>
      </c>
    </row>
    <row r="11" customFormat="false" ht="54" hidden="false" customHeight="true" outlineLevel="0" collapsed="false">
      <c r="A11" s="109"/>
      <c r="B11" s="31" t="s">
        <v>2093</v>
      </c>
      <c r="C11" s="5" t="s">
        <v>2094</v>
      </c>
      <c r="D11" s="5" t="s">
        <v>2095</v>
      </c>
      <c r="E11" s="5" t="s">
        <v>2096</v>
      </c>
      <c r="F11" s="72" t="s">
        <v>2065</v>
      </c>
      <c r="G11" s="72" t="s">
        <v>2097</v>
      </c>
      <c r="H11" s="72" t="s">
        <v>2098</v>
      </c>
    </row>
    <row r="12" customFormat="false" ht="54" hidden="false" customHeight="true" outlineLevel="0" collapsed="false">
      <c r="A12" s="109"/>
      <c r="B12" s="31" t="s">
        <v>2099</v>
      </c>
      <c r="C12" s="112" t="s">
        <v>1991</v>
      </c>
      <c r="D12" s="43" t="s">
        <v>2100</v>
      </c>
      <c r="E12" s="43" t="s">
        <v>2101</v>
      </c>
      <c r="F12" s="72" t="s">
        <v>2087</v>
      </c>
      <c r="G12" s="72" t="s">
        <v>2102</v>
      </c>
      <c r="H12" s="72" t="s">
        <v>2103</v>
      </c>
    </row>
    <row r="13" customFormat="false" ht="54" hidden="false" customHeight="true" outlineLevel="0" collapsed="false">
      <c r="A13" s="109"/>
      <c r="B13" s="31" t="s">
        <v>2104</v>
      </c>
      <c r="C13" s="5" t="s">
        <v>2105</v>
      </c>
      <c r="D13" s="5" t="s">
        <v>2106</v>
      </c>
      <c r="E13" s="5" t="s">
        <v>2107</v>
      </c>
      <c r="F13" s="72" t="s">
        <v>2065</v>
      </c>
      <c r="G13" s="72" t="s">
        <v>2108</v>
      </c>
      <c r="H13" s="72" t="s">
        <v>2109</v>
      </c>
    </row>
    <row r="14" customFormat="false" ht="54" hidden="false" customHeight="true" outlineLevel="0" collapsed="false">
      <c r="A14" s="109"/>
      <c r="B14" s="31" t="s">
        <v>2110</v>
      </c>
      <c r="C14" s="5" t="s">
        <v>2111</v>
      </c>
      <c r="D14" s="5" t="s">
        <v>2112</v>
      </c>
      <c r="E14" s="5" t="s">
        <v>2113</v>
      </c>
      <c r="F14" s="72" t="s">
        <v>2065</v>
      </c>
      <c r="G14" s="72" t="s">
        <v>2114</v>
      </c>
      <c r="H14" s="72" t="s">
        <v>2115</v>
      </c>
    </row>
    <row r="15" customFormat="false" ht="54" hidden="false" customHeight="true" outlineLevel="0" collapsed="false">
      <c r="A15" s="113" t="s">
        <v>178</v>
      </c>
      <c r="B15" s="114" t="s">
        <v>2116</v>
      </c>
      <c r="C15" s="111" t="s">
        <v>216</v>
      </c>
      <c r="D15" s="111" t="s">
        <v>216</v>
      </c>
      <c r="E15" s="111" t="s">
        <v>216</v>
      </c>
      <c r="F15" s="88" t="s">
        <v>2117</v>
      </c>
      <c r="G15" s="88" t="s">
        <v>2118</v>
      </c>
      <c r="H15" s="88" t="s">
        <v>2119</v>
      </c>
    </row>
    <row r="16" customFormat="false" ht="54" hidden="false" customHeight="true" outlineLevel="0" collapsed="false">
      <c r="A16" s="113"/>
      <c r="B16" s="33" t="s">
        <v>2120</v>
      </c>
      <c r="C16" s="36" t="s">
        <v>216</v>
      </c>
      <c r="D16" s="36" t="s">
        <v>216</v>
      </c>
      <c r="E16" s="36" t="s">
        <v>216</v>
      </c>
      <c r="F16" s="76" t="s">
        <v>2121</v>
      </c>
      <c r="G16" s="76" t="s">
        <v>2122</v>
      </c>
      <c r="H16" s="76" t="s">
        <v>2123</v>
      </c>
    </row>
    <row r="17" customFormat="false" ht="54" hidden="false" customHeight="true" outlineLevel="0" collapsed="false">
      <c r="A17" s="113"/>
      <c r="B17" s="33" t="s">
        <v>2124</v>
      </c>
      <c r="C17" s="112" t="s">
        <v>1991</v>
      </c>
      <c r="D17" s="36" t="s">
        <v>216</v>
      </c>
      <c r="E17" s="36" t="s">
        <v>216</v>
      </c>
      <c r="F17" s="76" t="s">
        <v>2087</v>
      </c>
      <c r="G17" s="76" t="s">
        <v>2125</v>
      </c>
      <c r="H17" s="76" t="s">
        <v>2126</v>
      </c>
    </row>
    <row r="18" customFormat="false" ht="54" hidden="false" customHeight="true" outlineLevel="0" collapsed="false">
      <c r="A18" s="113"/>
      <c r="B18" s="33" t="s">
        <v>2127</v>
      </c>
      <c r="C18" s="43" t="s">
        <v>2128</v>
      </c>
      <c r="D18" s="43" t="s">
        <v>2128</v>
      </c>
      <c r="E18" s="36" t="s">
        <v>2129</v>
      </c>
      <c r="F18" s="76" t="s">
        <v>2130</v>
      </c>
      <c r="G18" s="76" t="s">
        <v>2131</v>
      </c>
      <c r="H18" s="76" t="s">
        <v>2132</v>
      </c>
    </row>
    <row r="19" customFormat="false" ht="54" hidden="false" customHeight="true" outlineLevel="0" collapsed="false">
      <c r="A19" s="113"/>
      <c r="B19" s="33" t="s">
        <v>2133</v>
      </c>
      <c r="C19" s="43" t="s">
        <v>2134</v>
      </c>
      <c r="D19" s="43" t="s">
        <v>2134</v>
      </c>
      <c r="E19" s="36" t="s">
        <v>2135</v>
      </c>
      <c r="F19" s="76" t="s">
        <v>2136</v>
      </c>
      <c r="G19" s="76" t="s">
        <v>2137</v>
      </c>
      <c r="H19" s="76" t="s">
        <v>2065</v>
      </c>
    </row>
    <row r="20" customFormat="false" ht="54" hidden="false" customHeight="true" outlineLevel="0" collapsed="false">
      <c r="A20" s="113"/>
      <c r="B20" s="33" t="s">
        <v>2138</v>
      </c>
      <c r="C20" s="112" t="s">
        <v>1991</v>
      </c>
      <c r="D20" s="43" t="s">
        <v>2134</v>
      </c>
      <c r="E20" s="43" t="s">
        <v>2139</v>
      </c>
      <c r="F20" s="76" t="s">
        <v>2140</v>
      </c>
      <c r="G20" s="76" t="s">
        <v>2137</v>
      </c>
      <c r="H20" s="76" t="s">
        <v>2141</v>
      </c>
    </row>
    <row r="21" customFormat="false" ht="54" hidden="false" customHeight="true" outlineLevel="0" collapsed="false">
      <c r="A21" s="113"/>
      <c r="B21" s="33" t="s">
        <v>2142</v>
      </c>
      <c r="C21" s="112" t="s">
        <v>1991</v>
      </c>
      <c r="D21" s="112" t="s">
        <v>1991</v>
      </c>
      <c r="E21" s="36" t="s">
        <v>216</v>
      </c>
      <c r="F21" s="76" t="s">
        <v>2087</v>
      </c>
      <c r="G21" s="76" t="s">
        <v>2143</v>
      </c>
      <c r="H21" s="76" t="s">
        <v>2065</v>
      </c>
    </row>
    <row r="22" customFormat="false" ht="54" hidden="false" customHeight="true" outlineLevel="0" collapsed="false">
      <c r="A22" s="109" t="s">
        <v>179</v>
      </c>
      <c r="B22" s="110" t="s">
        <v>2144</v>
      </c>
      <c r="C22" s="111" t="s">
        <v>2145</v>
      </c>
      <c r="D22" s="111" t="s">
        <v>2145</v>
      </c>
      <c r="E22" s="111" t="s">
        <v>2145</v>
      </c>
      <c r="F22" s="84" t="s">
        <v>2146</v>
      </c>
      <c r="G22" s="84" t="s">
        <v>2147</v>
      </c>
      <c r="H22" s="84" t="s">
        <v>2148</v>
      </c>
    </row>
    <row r="23" customFormat="false" ht="54" hidden="false" customHeight="true" outlineLevel="0" collapsed="false">
      <c r="A23" s="109"/>
      <c r="B23" s="31" t="s">
        <v>516</v>
      </c>
      <c r="C23" s="5" t="s">
        <v>2149</v>
      </c>
      <c r="D23" s="36" t="s">
        <v>2150</v>
      </c>
      <c r="E23" s="36" t="s">
        <v>2151</v>
      </c>
      <c r="F23" s="72" t="s">
        <v>2152</v>
      </c>
      <c r="G23" s="72" t="s">
        <v>2153</v>
      </c>
      <c r="H23" s="72" t="s">
        <v>2154</v>
      </c>
    </row>
    <row r="24" customFormat="false" ht="54" hidden="false" customHeight="true" outlineLevel="0" collapsed="false">
      <c r="A24" s="109"/>
      <c r="B24" s="31" t="s">
        <v>2155</v>
      </c>
      <c r="C24" s="112" t="s">
        <v>1991</v>
      </c>
      <c r="D24" s="36" t="s">
        <v>2156</v>
      </c>
      <c r="E24" s="36" t="s">
        <v>2157</v>
      </c>
      <c r="F24" s="72" t="s">
        <v>2158</v>
      </c>
      <c r="G24" s="72" t="s">
        <v>2159</v>
      </c>
      <c r="H24" s="72" t="s">
        <v>2160</v>
      </c>
    </row>
    <row r="25" customFormat="false" ht="54" hidden="false" customHeight="true" outlineLevel="0" collapsed="false">
      <c r="A25" s="109"/>
      <c r="B25" s="31" t="s">
        <v>2161</v>
      </c>
      <c r="C25" s="112" t="s">
        <v>1991</v>
      </c>
      <c r="D25" s="43" t="s">
        <v>2162</v>
      </c>
      <c r="E25" s="36" t="s">
        <v>2163</v>
      </c>
      <c r="F25" s="72" t="s">
        <v>2164</v>
      </c>
      <c r="G25" s="72" t="s">
        <v>2165</v>
      </c>
      <c r="H25" s="72" t="s">
        <v>2166</v>
      </c>
    </row>
    <row r="26" customFormat="false" ht="54" hidden="false" customHeight="true" outlineLevel="0" collapsed="false">
      <c r="A26" s="109"/>
      <c r="B26" s="31" t="s">
        <v>2167</v>
      </c>
      <c r="C26" s="112" t="s">
        <v>1991</v>
      </c>
      <c r="D26" s="43" t="s">
        <v>2168</v>
      </c>
      <c r="E26" s="43" t="s">
        <v>2168</v>
      </c>
      <c r="F26" s="72" t="s">
        <v>2152</v>
      </c>
      <c r="G26" s="72" t="s">
        <v>2169</v>
      </c>
      <c r="H26" s="72" t="s">
        <v>2170</v>
      </c>
    </row>
    <row r="27" customFormat="false" ht="54" hidden="false" customHeight="true" outlineLevel="0" collapsed="false">
      <c r="A27" s="109"/>
      <c r="B27" s="31" t="s">
        <v>2171</v>
      </c>
      <c r="C27" s="43" t="s">
        <v>2134</v>
      </c>
      <c r="D27" s="43" t="s">
        <v>2134</v>
      </c>
      <c r="E27" s="36" t="s">
        <v>2172</v>
      </c>
      <c r="F27" s="72" t="s">
        <v>2130</v>
      </c>
      <c r="G27" s="72" t="s">
        <v>2173</v>
      </c>
      <c r="H27" s="72" t="s">
        <v>2065</v>
      </c>
    </row>
    <row r="28" customFormat="false" ht="54" hidden="false" customHeight="true" outlineLevel="0" collapsed="false">
      <c r="A28" s="109"/>
      <c r="B28" s="31" t="s">
        <v>2174</v>
      </c>
      <c r="C28" s="112" t="s">
        <v>1991</v>
      </c>
      <c r="D28" s="43" t="s">
        <v>2175</v>
      </c>
      <c r="E28" s="36" t="s">
        <v>216</v>
      </c>
      <c r="F28" s="72" t="s">
        <v>2176</v>
      </c>
      <c r="G28" s="72" t="s">
        <v>2177</v>
      </c>
      <c r="H28" s="72" t="s">
        <v>2178</v>
      </c>
    </row>
    <row r="29" customFormat="false" ht="54" hidden="false" customHeight="true" outlineLevel="0" collapsed="false">
      <c r="A29" s="109"/>
      <c r="B29" s="31" t="s">
        <v>2179</v>
      </c>
      <c r="C29" s="112" t="s">
        <v>1991</v>
      </c>
      <c r="D29" s="43" t="s">
        <v>2134</v>
      </c>
      <c r="E29" s="43" t="s">
        <v>2180</v>
      </c>
      <c r="F29" s="72" t="s">
        <v>2130</v>
      </c>
      <c r="G29" s="72" t="s">
        <v>2181</v>
      </c>
      <c r="H29" s="72" t="s">
        <v>2065</v>
      </c>
    </row>
    <row r="30" customFormat="false" ht="54" hidden="false" customHeight="true" outlineLevel="0" collapsed="false">
      <c r="A30" s="113" t="s">
        <v>92</v>
      </c>
      <c r="B30" s="114" t="s">
        <v>2182</v>
      </c>
      <c r="C30" s="115" t="s">
        <v>2183</v>
      </c>
      <c r="D30" s="111" t="s">
        <v>2184</v>
      </c>
      <c r="E30" s="111" t="s">
        <v>2185</v>
      </c>
      <c r="F30" s="88" t="s">
        <v>2186</v>
      </c>
      <c r="G30" s="88" t="s">
        <v>2187</v>
      </c>
      <c r="H30" s="88" t="s">
        <v>2188</v>
      </c>
    </row>
    <row r="31" customFormat="false" ht="54" hidden="false" customHeight="true" outlineLevel="0" collapsed="false">
      <c r="A31" s="113"/>
      <c r="B31" s="33" t="s">
        <v>2189</v>
      </c>
      <c r="C31" s="112" t="s">
        <v>1991</v>
      </c>
      <c r="D31" s="43" t="s">
        <v>2168</v>
      </c>
      <c r="E31" s="36" t="s">
        <v>216</v>
      </c>
      <c r="F31" s="76" t="s">
        <v>2190</v>
      </c>
      <c r="G31" s="76" t="s">
        <v>2191</v>
      </c>
      <c r="H31" s="76" t="s">
        <v>2065</v>
      </c>
    </row>
    <row r="32" customFormat="false" ht="54" hidden="false" customHeight="true" outlineLevel="0" collapsed="false">
      <c r="A32" s="113"/>
      <c r="B32" s="33" t="s">
        <v>2192</v>
      </c>
      <c r="C32" s="112" t="s">
        <v>1991</v>
      </c>
      <c r="D32" s="43" t="s">
        <v>2134</v>
      </c>
      <c r="E32" s="36" t="s">
        <v>2185</v>
      </c>
      <c r="F32" s="76" t="s">
        <v>2193</v>
      </c>
      <c r="G32" s="76" t="s">
        <v>2194</v>
      </c>
      <c r="H32" s="76" t="s">
        <v>2195</v>
      </c>
    </row>
    <row r="33" customFormat="false" ht="54" hidden="false" customHeight="true" outlineLevel="0" collapsed="false">
      <c r="A33" s="113"/>
      <c r="B33" s="33" t="s">
        <v>2196</v>
      </c>
      <c r="C33" s="43" t="s">
        <v>2134</v>
      </c>
      <c r="D33" s="43" t="s">
        <v>2134</v>
      </c>
      <c r="E33" s="36" t="s">
        <v>2197</v>
      </c>
      <c r="F33" s="76" t="s">
        <v>2176</v>
      </c>
      <c r="G33" s="76" t="s">
        <v>2198</v>
      </c>
      <c r="H33" s="76" t="s">
        <v>2065</v>
      </c>
    </row>
    <row r="34" customFormat="false" ht="54" hidden="false" customHeight="true" outlineLevel="0" collapsed="false">
      <c r="A34" s="113"/>
      <c r="B34" s="33" t="s">
        <v>2199</v>
      </c>
      <c r="C34" s="112" t="s">
        <v>1991</v>
      </c>
      <c r="D34" s="43" t="s">
        <v>2134</v>
      </c>
      <c r="E34" s="43" t="s">
        <v>2134</v>
      </c>
      <c r="F34" s="76" t="s">
        <v>2130</v>
      </c>
      <c r="G34" s="76" t="s">
        <v>2200</v>
      </c>
      <c r="H34" s="76" t="s">
        <v>2065</v>
      </c>
    </row>
    <row r="35" customFormat="false" ht="54" hidden="false" customHeight="true" outlineLevel="0" collapsed="false">
      <c r="A35" s="113"/>
      <c r="B35" s="33" t="s">
        <v>2201</v>
      </c>
      <c r="C35" s="36" t="s">
        <v>2202</v>
      </c>
      <c r="D35" s="36" t="s">
        <v>2202</v>
      </c>
      <c r="E35" s="36" t="s">
        <v>2202</v>
      </c>
      <c r="F35" s="76" t="s">
        <v>2087</v>
      </c>
      <c r="G35" s="76" t="s">
        <v>2203</v>
      </c>
      <c r="H35" s="76" t="s">
        <v>2204</v>
      </c>
    </row>
    <row r="36" customFormat="false" ht="54" hidden="false" customHeight="true" outlineLevel="0" collapsed="false">
      <c r="A36" s="109" t="s">
        <v>127</v>
      </c>
      <c r="B36" s="110" t="s">
        <v>2205</v>
      </c>
      <c r="C36" s="111" t="s">
        <v>2206</v>
      </c>
      <c r="D36" s="111" t="s">
        <v>2206</v>
      </c>
      <c r="E36" s="111" t="s">
        <v>2206</v>
      </c>
      <c r="F36" s="84" t="s">
        <v>2207</v>
      </c>
      <c r="G36" s="84" t="s">
        <v>2208</v>
      </c>
      <c r="H36" s="84" t="s">
        <v>2209</v>
      </c>
    </row>
    <row r="37" customFormat="false" ht="54" hidden="false" customHeight="true" outlineLevel="0" collapsed="false">
      <c r="A37" s="109"/>
      <c r="B37" s="31" t="s">
        <v>2210</v>
      </c>
      <c r="C37" s="112" t="s">
        <v>1991</v>
      </c>
      <c r="D37" s="43" t="s">
        <v>2211</v>
      </c>
      <c r="E37" s="43" t="s">
        <v>2212</v>
      </c>
      <c r="F37" s="72" t="s">
        <v>2213</v>
      </c>
      <c r="G37" s="72" t="s">
        <v>2214</v>
      </c>
      <c r="H37" s="72" t="s">
        <v>2065</v>
      </c>
    </row>
    <row r="38" customFormat="false" ht="54" hidden="false" customHeight="true" outlineLevel="0" collapsed="false">
      <c r="A38" s="109"/>
      <c r="B38" s="31" t="s">
        <v>2215</v>
      </c>
      <c r="C38" s="112" t="s">
        <v>1991</v>
      </c>
      <c r="D38" s="43" t="s">
        <v>2134</v>
      </c>
      <c r="E38" s="36" t="s">
        <v>2185</v>
      </c>
      <c r="F38" s="72" t="s">
        <v>2193</v>
      </c>
      <c r="G38" s="72" t="s">
        <v>2216</v>
      </c>
      <c r="H38" s="72" t="s">
        <v>2065</v>
      </c>
    </row>
    <row r="39" customFormat="false" ht="54" hidden="false" customHeight="true" outlineLevel="0" collapsed="false">
      <c r="A39" s="113" t="s">
        <v>181</v>
      </c>
      <c r="B39" s="114" t="s">
        <v>2217</v>
      </c>
      <c r="C39" s="111" t="s">
        <v>216</v>
      </c>
      <c r="D39" s="111" t="s">
        <v>216</v>
      </c>
      <c r="E39" s="111" t="s">
        <v>216</v>
      </c>
      <c r="F39" s="88" t="s">
        <v>2218</v>
      </c>
      <c r="G39" s="88" t="s">
        <v>2219</v>
      </c>
      <c r="H39" s="88" t="s">
        <v>2065</v>
      </c>
    </row>
    <row r="40" customFormat="false" ht="54" hidden="false" customHeight="true" outlineLevel="0" collapsed="false">
      <c r="A40" s="113"/>
      <c r="B40" s="33" t="s">
        <v>2220</v>
      </c>
      <c r="C40" s="112" t="s">
        <v>1991</v>
      </c>
      <c r="D40" s="36" t="s">
        <v>216</v>
      </c>
      <c r="E40" s="36" t="s">
        <v>216</v>
      </c>
      <c r="F40" s="76" t="s">
        <v>2221</v>
      </c>
      <c r="G40" s="76" t="s">
        <v>2222</v>
      </c>
      <c r="H40" s="76" t="s">
        <v>2223</v>
      </c>
    </row>
    <row r="41" customFormat="false" ht="54" hidden="false" customHeight="true" outlineLevel="0" collapsed="false">
      <c r="A41" s="113"/>
      <c r="B41" s="33" t="s">
        <v>2224</v>
      </c>
      <c r="C41" s="112" t="s">
        <v>1991</v>
      </c>
      <c r="D41" s="36" t="s">
        <v>2225</v>
      </c>
      <c r="E41" s="36" t="s">
        <v>2225</v>
      </c>
      <c r="F41" s="76" t="s">
        <v>2176</v>
      </c>
      <c r="G41" s="76" t="s">
        <v>2226</v>
      </c>
      <c r="H41" s="76" t="s">
        <v>2227</v>
      </c>
    </row>
    <row r="42" customFormat="false" ht="54" hidden="false" customHeight="true" outlineLevel="0" collapsed="false">
      <c r="A42" s="113"/>
      <c r="B42" s="33" t="s">
        <v>2228</v>
      </c>
      <c r="C42" s="5" t="s">
        <v>2229</v>
      </c>
      <c r="D42" s="5" t="s">
        <v>2230</v>
      </c>
      <c r="E42" s="5" t="s">
        <v>2231</v>
      </c>
      <c r="F42" s="76" t="s">
        <v>2232</v>
      </c>
      <c r="G42" s="76" t="s">
        <v>2233</v>
      </c>
      <c r="H42" s="76" t="s">
        <v>2234</v>
      </c>
    </row>
    <row r="43" customFormat="false" ht="54" hidden="false" customHeight="true" outlineLevel="0" collapsed="false">
      <c r="A43" s="113"/>
      <c r="B43" s="33" t="s">
        <v>2235</v>
      </c>
      <c r="C43" s="112" t="s">
        <v>1991</v>
      </c>
      <c r="D43" s="112" t="s">
        <v>1991</v>
      </c>
      <c r="E43" s="36" t="s">
        <v>216</v>
      </c>
      <c r="F43" s="76" t="s">
        <v>2236</v>
      </c>
      <c r="G43" s="76" t="s">
        <v>2237</v>
      </c>
      <c r="H43" s="76" t="s">
        <v>2238</v>
      </c>
    </row>
    <row r="44" customFormat="false" ht="54" hidden="false" customHeight="true" outlineLevel="0" collapsed="false">
      <c r="A44" s="113"/>
      <c r="B44" s="33" t="s">
        <v>2239</v>
      </c>
      <c r="C44" s="112" t="s">
        <v>1991</v>
      </c>
      <c r="D44" s="43" t="s">
        <v>2134</v>
      </c>
      <c r="E44" s="43" t="s">
        <v>2134</v>
      </c>
      <c r="F44" s="76" t="s">
        <v>2130</v>
      </c>
      <c r="G44" s="76" t="s">
        <v>2137</v>
      </c>
      <c r="H44" s="76" t="s">
        <v>2240</v>
      </c>
    </row>
    <row r="45" customFormat="false" ht="54" hidden="false" customHeight="true" outlineLevel="0" collapsed="false">
      <c r="A45" s="113"/>
      <c r="B45" s="33" t="s">
        <v>2241</v>
      </c>
      <c r="C45" s="112" t="s">
        <v>1991</v>
      </c>
      <c r="D45" s="43" t="s">
        <v>2134</v>
      </c>
      <c r="E45" s="43" t="s">
        <v>2134</v>
      </c>
      <c r="F45" s="76" t="s">
        <v>2176</v>
      </c>
      <c r="G45" s="76" t="s">
        <v>2137</v>
      </c>
      <c r="H45" s="76" t="s">
        <v>2065</v>
      </c>
    </row>
    <row r="46" customFormat="false" ht="54" hidden="false" customHeight="true" outlineLevel="0" collapsed="false">
      <c r="A46" s="109" t="s">
        <v>182</v>
      </c>
      <c r="B46" s="110" t="s">
        <v>2242</v>
      </c>
      <c r="C46" s="111" t="s">
        <v>216</v>
      </c>
      <c r="D46" s="111" t="s">
        <v>216</v>
      </c>
      <c r="E46" s="111" t="s">
        <v>216</v>
      </c>
      <c r="F46" s="84" t="s">
        <v>2243</v>
      </c>
      <c r="G46" s="84" t="s">
        <v>2244</v>
      </c>
      <c r="H46" s="84" t="s">
        <v>2245</v>
      </c>
    </row>
    <row r="47" customFormat="false" ht="54" hidden="false" customHeight="true" outlineLevel="0" collapsed="false">
      <c r="A47" s="109"/>
      <c r="B47" s="31" t="s">
        <v>2246</v>
      </c>
      <c r="C47" s="112" t="s">
        <v>1991</v>
      </c>
      <c r="D47" s="36" t="s">
        <v>216</v>
      </c>
      <c r="E47" s="36" t="s">
        <v>216</v>
      </c>
      <c r="F47" s="72" t="s">
        <v>2247</v>
      </c>
      <c r="G47" s="72" t="s">
        <v>2248</v>
      </c>
      <c r="H47" s="72" t="s">
        <v>2065</v>
      </c>
    </row>
    <row r="48" customFormat="false" ht="54" hidden="false" customHeight="true" outlineLevel="0" collapsed="false">
      <c r="A48" s="109"/>
      <c r="B48" s="31" t="s">
        <v>2249</v>
      </c>
      <c r="C48" s="5" t="s">
        <v>2250</v>
      </c>
      <c r="D48" s="36" t="s">
        <v>2251</v>
      </c>
      <c r="E48" s="36" t="s">
        <v>2252</v>
      </c>
      <c r="F48" s="72" t="s">
        <v>2253</v>
      </c>
      <c r="G48" s="72" t="s">
        <v>2254</v>
      </c>
      <c r="H48" s="72" t="s">
        <v>2255</v>
      </c>
    </row>
    <row r="49" customFormat="false" ht="54" hidden="false" customHeight="true" outlineLevel="0" collapsed="false">
      <c r="A49" s="109"/>
      <c r="B49" s="31" t="s">
        <v>2256</v>
      </c>
      <c r="C49" s="112" t="s">
        <v>1991</v>
      </c>
      <c r="D49" s="112" t="s">
        <v>1991</v>
      </c>
      <c r="E49" s="36" t="s">
        <v>216</v>
      </c>
      <c r="F49" s="72" t="s">
        <v>2257</v>
      </c>
      <c r="G49" s="72" t="s">
        <v>2258</v>
      </c>
      <c r="H49" s="72" t="s">
        <v>2259</v>
      </c>
    </row>
    <row r="50" customFormat="false" ht="54" hidden="false" customHeight="true" outlineLevel="0" collapsed="false">
      <c r="A50" s="109"/>
      <c r="B50" s="31" t="s">
        <v>2260</v>
      </c>
      <c r="C50" s="112" t="s">
        <v>1991</v>
      </c>
      <c r="D50" s="43" t="s">
        <v>2134</v>
      </c>
      <c r="E50" s="36" t="s">
        <v>216</v>
      </c>
      <c r="F50" s="72" t="s">
        <v>2130</v>
      </c>
      <c r="G50" s="72" t="s">
        <v>2261</v>
      </c>
      <c r="H50" s="72" t="s">
        <v>2262</v>
      </c>
    </row>
    <row r="51" customFormat="false" ht="54" hidden="false" customHeight="true" outlineLevel="0" collapsed="false">
      <c r="A51" s="109"/>
      <c r="B51" s="31" t="s">
        <v>2263</v>
      </c>
      <c r="C51" s="112" t="s">
        <v>1991</v>
      </c>
      <c r="D51" s="43" t="s">
        <v>2134</v>
      </c>
      <c r="E51" s="36" t="s">
        <v>216</v>
      </c>
      <c r="F51" s="72" t="s">
        <v>2130</v>
      </c>
      <c r="G51" s="72" t="s">
        <v>2264</v>
      </c>
      <c r="H51" s="72" t="s">
        <v>2065</v>
      </c>
    </row>
    <row r="52" customFormat="false" ht="54" hidden="false" customHeight="true" outlineLevel="0" collapsed="false">
      <c r="A52" s="109"/>
      <c r="B52" s="31" t="s">
        <v>2265</v>
      </c>
      <c r="C52" s="43" t="s">
        <v>2134</v>
      </c>
      <c r="D52" s="43" t="s">
        <v>2134</v>
      </c>
      <c r="E52" s="43" t="s">
        <v>2134</v>
      </c>
      <c r="F52" s="72" t="s">
        <v>2087</v>
      </c>
      <c r="G52" s="72" t="s">
        <v>2137</v>
      </c>
      <c r="H52" s="72" t="s">
        <v>2065</v>
      </c>
    </row>
    <row r="53" customFormat="false" ht="54" hidden="false" customHeight="true" outlineLevel="0" collapsed="false">
      <c r="A53" s="113" t="s">
        <v>183</v>
      </c>
      <c r="B53" s="114" t="s">
        <v>2266</v>
      </c>
      <c r="C53" s="111" t="s">
        <v>216</v>
      </c>
      <c r="D53" s="111" t="s">
        <v>216</v>
      </c>
      <c r="E53" s="111" t="s">
        <v>216</v>
      </c>
      <c r="F53" s="88" t="s">
        <v>2267</v>
      </c>
      <c r="G53" s="88" t="s">
        <v>2268</v>
      </c>
      <c r="H53" s="88" t="s">
        <v>2269</v>
      </c>
    </row>
    <row r="54" customFormat="false" ht="54" hidden="false" customHeight="true" outlineLevel="0" collapsed="false">
      <c r="A54" s="113"/>
      <c r="B54" s="33" t="s">
        <v>2270</v>
      </c>
      <c r="C54" s="36" t="s">
        <v>216</v>
      </c>
      <c r="D54" s="36" t="s">
        <v>216</v>
      </c>
      <c r="E54" s="36" t="s">
        <v>216</v>
      </c>
      <c r="F54" s="76" t="s">
        <v>2140</v>
      </c>
      <c r="G54" s="76" t="s">
        <v>2271</v>
      </c>
      <c r="H54" s="76" t="s">
        <v>2065</v>
      </c>
    </row>
    <row r="55" customFormat="false" ht="54" hidden="false" customHeight="true" outlineLevel="0" collapsed="false">
      <c r="A55" s="113"/>
      <c r="B55" s="33" t="s">
        <v>2272</v>
      </c>
      <c r="C55" s="5" t="s">
        <v>2273</v>
      </c>
      <c r="D55" s="5" t="s">
        <v>2274</v>
      </c>
      <c r="E55" s="5" t="s">
        <v>2275</v>
      </c>
      <c r="F55" s="76" t="s">
        <v>2276</v>
      </c>
      <c r="G55" s="76" t="s">
        <v>2277</v>
      </c>
      <c r="H55" s="76" t="s">
        <v>2065</v>
      </c>
    </row>
    <row r="56" customFormat="false" ht="54" hidden="false" customHeight="true" outlineLevel="0" collapsed="false">
      <c r="A56" s="113"/>
      <c r="B56" s="33" t="s">
        <v>2278</v>
      </c>
      <c r="C56" s="112" t="s">
        <v>1991</v>
      </c>
      <c r="D56" s="36" t="s">
        <v>216</v>
      </c>
      <c r="E56" s="36" t="s">
        <v>216</v>
      </c>
      <c r="F56" s="76" t="s">
        <v>2279</v>
      </c>
      <c r="G56" s="76" t="s">
        <v>2280</v>
      </c>
      <c r="H56" s="76" t="s">
        <v>2065</v>
      </c>
    </row>
    <row r="57" customFormat="false" ht="54" hidden="false" customHeight="true" outlineLevel="0" collapsed="false">
      <c r="A57" s="113"/>
      <c r="B57" s="33" t="s">
        <v>2281</v>
      </c>
      <c r="C57" s="43" t="s">
        <v>2134</v>
      </c>
      <c r="D57" s="43" t="s">
        <v>2134</v>
      </c>
      <c r="E57" s="36" t="s">
        <v>2282</v>
      </c>
      <c r="F57" s="76" t="s">
        <v>2130</v>
      </c>
      <c r="G57" s="76" t="s">
        <v>2283</v>
      </c>
      <c r="H57" s="76" t="s">
        <v>2065</v>
      </c>
    </row>
    <row r="58" customFormat="false" ht="54" hidden="false" customHeight="true" outlineLevel="0" collapsed="false">
      <c r="A58" s="113"/>
      <c r="B58" s="33" t="s">
        <v>2284</v>
      </c>
      <c r="C58" s="112" t="s">
        <v>1991</v>
      </c>
      <c r="D58" s="43" t="s">
        <v>2134</v>
      </c>
      <c r="E58" s="36" t="s">
        <v>216</v>
      </c>
      <c r="F58" s="76" t="s">
        <v>2130</v>
      </c>
      <c r="G58" s="76" t="s">
        <v>2285</v>
      </c>
      <c r="H58" s="76" t="s">
        <v>2065</v>
      </c>
    </row>
    <row r="59" customFormat="false" ht="54" hidden="false" customHeight="true" outlineLevel="0" collapsed="false">
      <c r="A59" s="113"/>
      <c r="B59" s="33" t="s">
        <v>2286</v>
      </c>
      <c r="C59" s="5" t="s">
        <v>2287</v>
      </c>
      <c r="D59" s="5" t="s">
        <v>2287</v>
      </c>
      <c r="E59" s="5" t="s">
        <v>2288</v>
      </c>
      <c r="F59" s="76" t="s">
        <v>2130</v>
      </c>
      <c r="G59" s="76" t="s">
        <v>2289</v>
      </c>
      <c r="H59" s="76" t="s">
        <v>2290</v>
      </c>
    </row>
    <row r="60" customFormat="false" ht="54" hidden="false" customHeight="true" outlineLevel="0" collapsed="false">
      <c r="A60" s="109" t="s">
        <v>184</v>
      </c>
      <c r="B60" s="110" t="s">
        <v>2291</v>
      </c>
      <c r="C60" s="111" t="s">
        <v>216</v>
      </c>
      <c r="D60" s="111" t="s">
        <v>216</v>
      </c>
      <c r="E60" s="111" t="s">
        <v>216</v>
      </c>
      <c r="F60" s="84" t="s">
        <v>2292</v>
      </c>
      <c r="G60" s="84" t="s">
        <v>2293</v>
      </c>
      <c r="H60" s="84" t="s">
        <v>2294</v>
      </c>
    </row>
    <row r="61" customFormat="false" ht="54" hidden="false" customHeight="true" outlineLevel="0" collapsed="false">
      <c r="A61" s="109"/>
      <c r="B61" s="31" t="s">
        <v>2295</v>
      </c>
      <c r="C61" s="5" t="s">
        <v>2296</v>
      </c>
      <c r="D61" s="36" t="s">
        <v>216</v>
      </c>
      <c r="E61" s="36" t="s">
        <v>216</v>
      </c>
      <c r="F61" s="72" t="s">
        <v>2297</v>
      </c>
      <c r="G61" s="72" t="s">
        <v>2298</v>
      </c>
      <c r="H61" s="72" t="s">
        <v>2065</v>
      </c>
    </row>
    <row r="62" customFormat="false" ht="54" hidden="false" customHeight="true" outlineLevel="0" collapsed="false">
      <c r="A62" s="109"/>
      <c r="B62" s="31" t="s">
        <v>2299</v>
      </c>
      <c r="C62" s="5" t="s">
        <v>2296</v>
      </c>
      <c r="D62" s="36" t="s">
        <v>216</v>
      </c>
      <c r="E62" s="36" t="s">
        <v>216</v>
      </c>
      <c r="F62" s="72" t="s">
        <v>2300</v>
      </c>
      <c r="G62" s="72" t="s">
        <v>2301</v>
      </c>
      <c r="H62" s="72" t="s">
        <v>2065</v>
      </c>
    </row>
    <row r="63" customFormat="false" ht="54" hidden="false" customHeight="true" outlineLevel="0" collapsed="false">
      <c r="A63" s="109"/>
      <c r="B63" s="31" t="s">
        <v>2302</v>
      </c>
      <c r="C63" s="112" t="s">
        <v>1991</v>
      </c>
      <c r="D63" s="43" t="s">
        <v>2134</v>
      </c>
      <c r="E63" s="36" t="s">
        <v>216</v>
      </c>
      <c r="F63" s="72" t="s">
        <v>2303</v>
      </c>
      <c r="G63" s="72" t="s">
        <v>2304</v>
      </c>
      <c r="H63" s="72" t="s">
        <v>2065</v>
      </c>
    </row>
    <row r="64" customFormat="false" ht="54" hidden="false" customHeight="true" outlineLevel="0" collapsed="false">
      <c r="A64" s="109"/>
      <c r="B64" s="31" t="s">
        <v>2305</v>
      </c>
      <c r="C64" s="112" t="s">
        <v>1991</v>
      </c>
      <c r="D64" s="43" t="s">
        <v>2134</v>
      </c>
      <c r="E64" s="36" t="s">
        <v>216</v>
      </c>
      <c r="F64" s="72" t="s">
        <v>2276</v>
      </c>
      <c r="G64" s="72" t="s">
        <v>2306</v>
      </c>
      <c r="H64" s="72" t="s">
        <v>2065</v>
      </c>
    </row>
    <row r="65" customFormat="false" ht="54" hidden="false" customHeight="true" outlineLevel="0" collapsed="false">
      <c r="A65" s="109"/>
      <c r="B65" s="31" t="s">
        <v>2307</v>
      </c>
      <c r="C65" s="5" t="s">
        <v>2308</v>
      </c>
      <c r="D65" s="5" t="s">
        <v>2308</v>
      </c>
      <c r="E65" s="36" t="s">
        <v>2309</v>
      </c>
      <c r="F65" s="72" t="s">
        <v>2310</v>
      </c>
      <c r="G65" s="72" t="s">
        <v>2311</v>
      </c>
      <c r="H65" s="72" t="s">
        <v>2312</v>
      </c>
    </row>
    <row r="66" customFormat="false" ht="54" hidden="false" customHeight="true" outlineLevel="0" collapsed="false">
      <c r="A66" s="113" t="s">
        <v>134</v>
      </c>
      <c r="B66" s="114" t="s">
        <v>2313</v>
      </c>
      <c r="C66" s="111" t="s">
        <v>216</v>
      </c>
      <c r="D66" s="111" t="s">
        <v>216</v>
      </c>
      <c r="E66" s="111" t="s">
        <v>216</v>
      </c>
      <c r="F66" s="88" t="s">
        <v>2087</v>
      </c>
      <c r="G66" s="88" t="s">
        <v>2314</v>
      </c>
      <c r="H66" s="88" t="s">
        <v>2065</v>
      </c>
    </row>
    <row r="67" customFormat="false" ht="54" hidden="false" customHeight="true" outlineLevel="0" collapsed="false">
      <c r="A67" s="113"/>
      <c r="B67" s="33" t="s">
        <v>2315</v>
      </c>
      <c r="C67" s="36" t="s">
        <v>2316</v>
      </c>
      <c r="D67" s="36" t="s">
        <v>2317</v>
      </c>
      <c r="E67" s="36" t="s">
        <v>2318</v>
      </c>
      <c r="F67" s="76" t="s">
        <v>2319</v>
      </c>
      <c r="G67" s="76" t="s">
        <v>2320</v>
      </c>
      <c r="H67" s="76" t="s">
        <v>2321</v>
      </c>
    </row>
    <row r="68" customFormat="false" ht="54" hidden="false" customHeight="true" outlineLevel="0" collapsed="false">
      <c r="A68" s="113"/>
      <c r="B68" s="33" t="s">
        <v>2322</v>
      </c>
      <c r="C68" s="112" t="s">
        <v>1991</v>
      </c>
      <c r="D68" s="36" t="s">
        <v>2323</v>
      </c>
      <c r="E68" s="36" t="s">
        <v>2324</v>
      </c>
      <c r="F68" s="76" t="s">
        <v>2176</v>
      </c>
      <c r="G68" s="76" t="s">
        <v>2325</v>
      </c>
      <c r="H68" s="76" t="s">
        <v>2065</v>
      </c>
    </row>
    <row r="69" customFormat="false" ht="54" hidden="false" customHeight="true" outlineLevel="0" collapsed="false">
      <c r="A69" s="113"/>
      <c r="B69" s="33" t="s">
        <v>2326</v>
      </c>
      <c r="C69" s="112" t="s">
        <v>1991</v>
      </c>
      <c r="D69" s="112" t="s">
        <v>1991</v>
      </c>
      <c r="E69" s="36" t="s">
        <v>216</v>
      </c>
      <c r="F69" s="76" t="s">
        <v>2327</v>
      </c>
      <c r="G69" s="76" t="s">
        <v>2328</v>
      </c>
      <c r="H69" s="76" t="s">
        <v>2065</v>
      </c>
    </row>
    <row r="70" customFormat="false" ht="54" hidden="false" customHeight="true" outlineLevel="0" collapsed="false">
      <c r="A70" s="113"/>
      <c r="B70" s="33" t="s">
        <v>2329</v>
      </c>
      <c r="C70" s="112" t="s">
        <v>1991</v>
      </c>
      <c r="D70" s="36" t="s">
        <v>2330</v>
      </c>
      <c r="E70" s="36" t="s">
        <v>2331</v>
      </c>
      <c r="F70" s="76" t="s">
        <v>2130</v>
      </c>
      <c r="G70" s="76" t="s">
        <v>2181</v>
      </c>
      <c r="H70" s="76" t="s">
        <v>2065</v>
      </c>
    </row>
    <row r="71" customFormat="false" ht="54" hidden="false" customHeight="true" outlineLevel="0" collapsed="false">
      <c r="A71" s="113"/>
      <c r="B71" s="33" t="s">
        <v>2332</v>
      </c>
      <c r="C71" s="112" t="s">
        <v>1991</v>
      </c>
      <c r="D71" s="43" t="s">
        <v>2134</v>
      </c>
      <c r="E71" s="36" t="s">
        <v>216</v>
      </c>
      <c r="F71" s="76" t="s">
        <v>2087</v>
      </c>
      <c r="G71" s="76" t="s">
        <v>2333</v>
      </c>
      <c r="H71" s="76" t="s">
        <v>2065</v>
      </c>
    </row>
    <row r="72" customFormat="false" ht="54" hidden="false" customHeight="true" outlineLevel="0" collapsed="false">
      <c r="A72" s="113"/>
      <c r="B72" s="33" t="s">
        <v>2334</v>
      </c>
      <c r="C72" s="43" t="s">
        <v>2134</v>
      </c>
      <c r="D72" s="43" t="s">
        <v>2134</v>
      </c>
      <c r="E72" s="43" t="s">
        <v>2134</v>
      </c>
      <c r="F72" s="76" t="s">
        <v>2140</v>
      </c>
      <c r="G72" s="76" t="s">
        <v>2335</v>
      </c>
      <c r="H72" s="76" t="s">
        <v>2065</v>
      </c>
    </row>
    <row r="73" customFormat="false" ht="54" hidden="false" customHeight="true" outlineLevel="0" collapsed="false">
      <c r="A73" s="113"/>
      <c r="B73" s="33" t="s">
        <v>2336</v>
      </c>
      <c r="C73" s="43" t="s">
        <v>2134</v>
      </c>
      <c r="D73" s="43" t="s">
        <v>2134</v>
      </c>
      <c r="E73" s="43" t="s">
        <v>2134</v>
      </c>
      <c r="F73" s="76" t="s">
        <v>2337</v>
      </c>
      <c r="G73" s="76" t="s">
        <v>2338</v>
      </c>
      <c r="H73" s="76" t="s">
        <v>2065</v>
      </c>
    </row>
    <row r="74" customFormat="false" ht="54" hidden="false" customHeight="true" outlineLevel="0" collapsed="false">
      <c r="A74" s="113"/>
      <c r="B74" s="33" t="s">
        <v>2339</v>
      </c>
      <c r="C74" s="112" t="s">
        <v>1991</v>
      </c>
      <c r="D74" s="112" t="s">
        <v>1991</v>
      </c>
      <c r="E74" s="36" t="s">
        <v>216</v>
      </c>
      <c r="F74" s="76" t="s">
        <v>2176</v>
      </c>
      <c r="G74" s="76" t="s">
        <v>2340</v>
      </c>
      <c r="H74" s="76" t="s">
        <v>2341</v>
      </c>
    </row>
    <row r="75" customFormat="false" ht="54" hidden="false" customHeight="true" outlineLevel="0" collapsed="false">
      <c r="A75" s="109" t="s">
        <v>2342</v>
      </c>
      <c r="B75" s="110" t="s">
        <v>2343</v>
      </c>
      <c r="C75" s="116" t="s">
        <v>2344</v>
      </c>
      <c r="D75" s="116" t="s">
        <v>2345</v>
      </c>
      <c r="E75" s="116" t="s">
        <v>2346</v>
      </c>
      <c r="F75" s="84" t="s">
        <v>2087</v>
      </c>
      <c r="G75" s="84" t="s">
        <v>2347</v>
      </c>
      <c r="H75" s="84" t="s">
        <v>2348</v>
      </c>
    </row>
    <row r="77" customFormat="false" ht="39.75" hidden="false" customHeight="true" outlineLevel="0" collapsed="false">
      <c r="A77" s="104" t="s">
        <v>2349</v>
      </c>
      <c r="B77" s="36" t="s">
        <v>2013</v>
      </c>
      <c r="C77" s="43" t="s">
        <v>2350</v>
      </c>
      <c r="D77" s="112" t="s">
        <v>2351</v>
      </c>
      <c r="F77" s="79" t="s">
        <v>2352</v>
      </c>
      <c r="G77" s="79"/>
      <c r="H77" s="79"/>
    </row>
  </sheetData>
  <autoFilter ref="A4:H75"/>
  <mergeCells count="12">
    <mergeCell ref="A2:H2"/>
    <mergeCell ref="A5:A14"/>
    <mergeCell ref="A15:A21"/>
    <mergeCell ref="A22:A29"/>
    <mergeCell ref="A30:A35"/>
    <mergeCell ref="A36:A38"/>
    <mergeCell ref="A39:A45"/>
    <mergeCell ref="A46:A52"/>
    <mergeCell ref="A53:A59"/>
    <mergeCell ref="A60:A65"/>
    <mergeCell ref="A66:A74"/>
    <mergeCell ref="F77:H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4" min="3" style="0" width="50"/>
    <col collapsed="false" customWidth="true" hidden="false" outlineLevel="0" max="5" min="5" style="0" width="46"/>
    <col collapsed="false" customWidth="true" hidden="false" outlineLevel="0" max="6" min="6" style="0" width="54"/>
  </cols>
  <sheetData>
    <row r="1" customFormat="false" ht="19.7" hidden="false" customHeight="false" outlineLevel="0" collapsed="false">
      <c r="A1" s="1" t="s">
        <v>2353</v>
      </c>
    </row>
    <row r="2" customFormat="false" ht="48" hidden="false" customHeight="true" outlineLevel="0" collapsed="false">
      <c r="A2" s="2" t="s">
        <v>2354</v>
      </c>
      <c r="B2" s="2"/>
      <c r="C2" s="2"/>
      <c r="D2" s="2"/>
      <c r="E2" s="2"/>
      <c r="F2" s="2"/>
    </row>
    <row r="4" customFormat="false" ht="51.75" hidden="false" customHeight="true" outlineLevel="0" collapsed="false">
      <c r="A4" s="3" t="s">
        <v>64</v>
      </c>
      <c r="B4" s="3" t="s">
        <v>1844</v>
      </c>
      <c r="C4" s="89" t="s">
        <v>2355</v>
      </c>
      <c r="D4" s="117" t="s">
        <v>2356</v>
      </c>
      <c r="E4" s="97" t="s">
        <v>2357</v>
      </c>
      <c r="F4" s="90" t="s">
        <v>2358</v>
      </c>
    </row>
    <row r="5" customFormat="false" ht="84.75" hidden="false" customHeight="true" outlineLevel="0" collapsed="false">
      <c r="A5" s="81" t="s">
        <v>2063</v>
      </c>
      <c r="B5" s="118" t="s">
        <v>35</v>
      </c>
      <c r="C5" s="119" t="s">
        <v>2359</v>
      </c>
      <c r="D5" s="120" t="s">
        <v>2065</v>
      </c>
      <c r="E5" s="121" t="s">
        <v>2360</v>
      </c>
      <c r="F5" s="122" t="s">
        <v>2361</v>
      </c>
    </row>
    <row r="6" customFormat="false" ht="58.5" hidden="false" customHeight="true" outlineLevel="0" collapsed="false">
      <c r="A6" s="81"/>
      <c r="B6" s="123" t="s">
        <v>37</v>
      </c>
      <c r="C6" s="124" t="s">
        <v>2362</v>
      </c>
      <c r="D6" s="125" t="s">
        <v>2363</v>
      </c>
      <c r="E6" s="126" t="s">
        <v>2364</v>
      </c>
      <c r="F6" s="26" t="s">
        <v>2365</v>
      </c>
    </row>
    <row r="7" customFormat="false" ht="84.75" hidden="false" customHeight="true" outlineLevel="0" collapsed="false">
      <c r="A7" s="81"/>
      <c r="B7" s="127" t="s">
        <v>39</v>
      </c>
      <c r="C7" s="124" t="s">
        <v>2366</v>
      </c>
      <c r="D7" s="125" t="s">
        <v>2367</v>
      </c>
      <c r="E7" s="126" t="s">
        <v>2065</v>
      </c>
      <c r="F7" s="26" t="s">
        <v>2368</v>
      </c>
    </row>
    <row r="8" customFormat="false" ht="58.5" hidden="false" customHeight="true" outlineLevel="0" collapsed="false">
      <c r="A8" s="87" t="s">
        <v>178</v>
      </c>
      <c r="B8" s="118" t="s">
        <v>35</v>
      </c>
      <c r="C8" s="119" t="s">
        <v>2369</v>
      </c>
      <c r="D8" s="120" t="s">
        <v>2370</v>
      </c>
      <c r="E8" s="121" t="s">
        <v>2371</v>
      </c>
      <c r="F8" s="122" t="s">
        <v>2065</v>
      </c>
    </row>
    <row r="9" customFormat="false" ht="58.5" hidden="false" customHeight="true" outlineLevel="0" collapsed="false">
      <c r="A9" s="87"/>
      <c r="B9" s="123" t="s">
        <v>37</v>
      </c>
      <c r="C9" s="124" t="s">
        <v>2372</v>
      </c>
      <c r="D9" s="125" t="s">
        <v>2373</v>
      </c>
      <c r="E9" s="126" t="s">
        <v>2374</v>
      </c>
      <c r="F9" s="26" t="s">
        <v>2065</v>
      </c>
    </row>
    <row r="10" customFormat="false" ht="97.5" hidden="false" customHeight="true" outlineLevel="0" collapsed="false">
      <c r="A10" s="87"/>
      <c r="B10" s="127" t="s">
        <v>39</v>
      </c>
      <c r="C10" s="124" t="s">
        <v>2375</v>
      </c>
      <c r="D10" s="125" t="s">
        <v>2376</v>
      </c>
      <c r="E10" s="126" t="s">
        <v>2065</v>
      </c>
      <c r="F10" s="26" t="s">
        <v>2065</v>
      </c>
    </row>
    <row r="11" customFormat="false" ht="84.75" hidden="false" customHeight="true" outlineLevel="0" collapsed="false">
      <c r="A11" s="81" t="s">
        <v>179</v>
      </c>
      <c r="B11" s="118" t="s">
        <v>35</v>
      </c>
      <c r="C11" s="119" t="s">
        <v>2377</v>
      </c>
      <c r="D11" s="120" t="s">
        <v>2378</v>
      </c>
      <c r="E11" s="121" t="s">
        <v>2379</v>
      </c>
      <c r="F11" s="122" t="s">
        <v>2380</v>
      </c>
    </row>
    <row r="12" customFormat="false" ht="84.75" hidden="false" customHeight="true" outlineLevel="0" collapsed="false">
      <c r="A12" s="81"/>
      <c r="B12" s="123" t="s">
        <v>37</v>
      </c>
      <c r="C12" s="124" t="s">
        <v>2381</v>
      </c>
      <c r="D12" s="125" t="s">
        <v>2382</v>
      </c>
      <c r="E12" s="126" t="s">
        <v>2065</v>
      </c>
      <c r="F12" s="26" t="s">
        <v>2065</v>
      </c>
    </row>
    <row r="13" customFormat="false" ht="97.5" hidden="false" customHeight="true" outlineLevel="0" collapsed="false">
      <c r="A13" s="81"/>
      <c r="B13" s="127" t="s">
        <v>39</v>
      </c>
      <c r="C13" s="124" t="s">
        <v>2383</v>
      </c>
      <c r="D13" s="125" t="s">
        <v>2384</v>
      </c>
      <c r="E13" s="126" t="s">
        <v>2065</v>
      </c>
      <c r="F13" s="26" t="s">
        <v>2065</v>
      </c>
    </row>
    <row r="14" customFormat="false" ht="58.5" hidden="false" customHeight="true" outlineLevel="0" collapsed="false">
      <c r="A14" s="87" t="s">
        <v>92</v>
      </c>
      <c r="B14" s="118" t="s">
        <v>35</v>
      </c>
      <c r="C14" s="119" t="s">
        <v>2385</v>
      </c>
      <c r="D14" s="120" t="s">
        <v>2386</v>
      </c>
      <c r="E14" s="121" t="s">
        <v>2387</v>
      </c>
      <c r="F14" s="122" t="s">
        <v>2065</v>
      </c>
    </row>
    <row r="15" customFormat="false" ht="72" hidden="false" customHeight="true" outlineLevel="0" collapsed="false">
      <c r="A15" s="87"/>
      <c r="B15" s="123" t="s">
        <v>37</v>
      </c>
      <c r="C15" s="124" t="s">
        <v>2388</v>
      </c>
      <c r="D15" s="125" t="s">
        <v>2389</v>
      </c>
      <c r="E15" s="126" t="s">
        <v>2065</v>
      </c>
      <c r="F15" s="26" t="s">
        <v>2065</v>
      </c>
    </row>
    <row r="16" customFormat="false" ht="84.75" hidden="false" customHeight="true" outlineLevel="0" collapsed="false">
      <c r="A16" s="87"/>
      <c r="B16" s="127" t="s">
        <v>39</v>
      </c>
      <c r="C16" s="124" t="s">
        <v>2390</v>
      </c>
      <c r="D16" s="125" t="s">
        <v>2391</v>
      </c>
      <c r="E16" s="126" t="s">
        <v>2065</v>
      </c>
      <c r="F16" s="26" t="s">
        <v>2065</v>
      </c>
    </row>
    <row r="17" customFormat="false" ht="45.75" hidden="false" customHeight="true" outlineLevel="0" collapsed="false">
      <c r="A17" s="81" t="s">
        <v>127</v>
      </c>
      <c r="B17" s="118" t="s">
        <v>35</v>
      </c>
      <c r="C17" s="119" t="s">
        <v>2392</v>
      </c>
      <c r="D17" s="120" t="s">
        <v>2065</v>
      </c>
      <c r="E17" s="121" t="s">
        <v>2393</v>
      </c>
      <c r="F17" s="122" t="s">
        <v>2065</v>
      </c>
    </row>
    <row r="18" customFormat="false" ht="45.75" hidden="false" customHeight="true" outlineLevel="0" collapsed="false">
      <c r="A18" s="81"/>
      <c r="B18" s="123" t="s">
        <v>37</v>
      </c>
      <c r="C18" s="124" t="s">
        <v>2392</v>
      </c>
      <c r="D18" s="125" t="s">
        <v>2394</v>
      </c>
      <c r="E18" s="126" t="s">
        <v>2065</v>
      </c>
      <c r="F18" s="26" t="s">
        <v>2065</v>
      </c>
    </row>
    <row r="19" customFormat="false" ht="45.75" hidden="false" customHeight="true" outlineLevel="0" collapsed="false">
      <c r="A19" s="81"/>
      <c r="B19" s="127" t="s">
        <v>39</v>
      </c>
      <c r="C19" s="124" t="s">
        <v>2395</v>
      </c>
      <c r="D19" s="125" t="s">
        <v>2396</v>
      </c>
      <c r="E19" s="126" t="s">
        <v>2065</v>
      </c>
      <c r="F19" s="26" t="s">
        <v>2065</v>
      </c>
    </row>
    <row r="20" customFormat="false" ht="84.75" hidden="false" customHeight="true" outlineLevel="0" collapsed="false">
      <c r="A20" s="87" t="s">
        <v>181</v>
      </c>
      <c r="B20" s="118" t="s">
        <v>35</v>
      </c>
      <c r="C20" s="119" t="s">
        <v>2397</v>
      </c>
      <c r="D20" s="120" t="s">
        <v>2065</v>
      </c>
      <c r="E20" s="121" t="s">
        <v>2398</v>
      </c>
      <c r="F20" s="122" t="s">
        <v>2399</v>
      </c>
    </row>
    <row r="21" customFormat="false" ht="58.5" hidden="false" customHeight="true" outlineLevel="0" collapsed="false">
      <c r="A21" s="87"/>
      <c r="B21" s="123" t="s">
        <v>37</v>
      </c>
      <c r="C21" s="124" t="s">
        <v>2400</v>
      </c>
      <c r="D21" s="125" t="s">
        <v>2401</v>
      </c>
      <c r="E21" s="126" t="s">
        <v>2402</v>
      </c>
      <c r="F21" s="26" t="s">
        <v>2403</v>
      </c>
    </row>
    <row r="22" customFormat="false" ht="72" hidden="false" customHeight="true" outlineLevel="0" collapsed="false">
      <c r="A22" s="87"/>
      <c r="B22" s="127" t="s">
        <v>39</v>
      </c>
      <c r="C22" s="124" t="s">
        <v>2404</v>
      </c>
      <c r="D22" s="125" t="s">
        <v>2401</v>
      </c>
      <c r="E22" s="126" t="s">
        <v>2065</v>
      </c>
      <c r="F22" s="26" t="s">
        <v>2405</v>
      </c>
    </row>
    <row r="23" customFormat="false" ht="72" hidden="false" customHeight="true" outlineLevel="0" collapsed="false">
      <c r="A23" s="81" t="s">
        <v>182</v>
      </c>
      <c r="B23" s="118" t="s">
        <v>35</v>
      </c>
      <c r="C23" s="119" t="s">
        <v>2406</v>
      </c>
      <c r="D23" s="120" t="s">
        <v>2407</v>
      </c>
      <c r="E23" s="121" t="s">
        <v>2408</v>
      </c>
      <c r="F23" s="122" t="s">
        <v>2409</v>
      </c>
    </row>
    <row r="24" customFormat="false" ht="58.5" hidden="false" customHeight="true" outlineLevel="0" collapsed="false">
      <c r="A24" s="81"/>
      <c r="B24" s="123" t="s">
        <v>37</v>
      </c>
      <c r="C24" s="124" t="s">
        <v>2410</v>
      </c>
      <c r="D24" s="125" t="s">
        <v>2411</v>
      </c>
      <c r="E24" s="126" t="s">
        <v>2412</v>
      </c>
      <c r="F24" s="26" t="s">
        <v>2065</v>
      </c>
    </row>
    <row r="25" customFormat="false" ht="97.5" hidden="false" customHeight="true" outlineLevel="0" collapsed="false">
      <c r="A25" s="81"/>
      <c r="B25" s="127" t="s">
        <v>39</v>
      </c>
      <c r="C25" s="124" t="s">
        <v>2413</v>
      </c>
      <c r="D25" s="125" t="s">
        <v>2407</v>
      </c>
      <c r="E25" s="126" t="s">
        <v>2065</v>
      </c>
      <c r="F25" s="26" t="s">
        <v>2065</v>
      </c>
    </row>
    <row r="26" customFormat="false" ht="45.75" hidden="false" customHeight="true" outlineLevel="0" collapsed="false">
      <c r="A26" s="87" t="s">
        <v>183</v>
      </c>
      <c r="B26" s="118" t="s">
        <v>35</v>
      </c>
      <c r="C26" s="119" t="s">
        <v>2414</v>
      </c>
      <c r="D26" s="120" t="s">
        <v>2415</v>
      </c>
      <c r="E26" s="121" t="s">
        <v>2416</v>
      </c>
      <c r="F26" s="122" t="s">
        <v>2417</v>
      </c>
    </row>
    <row r="27" customFormat="false" ht="58.5" hidden="false" customHeight="true" outlineLevel="0" collapsed="false">
      <c r="A27" s="87"/>
      <c r="B27" s="123" t="s">
        <v>37</v>
      </c>
      <c r="C27" s="124" t="s">
        <v>2418</v>
      </c>
      <c r="D27" s="125" t="s">
        <v>2419</v>
      </c>
      <c r="E27" s="126" t="s">
        <v>2065</v>
      </c>
      <c r="F27" s="26" t="s">
        <v>2420</v>
      </c>
    </row>
    <row r="28" customFormat="false" ht="84.75" hidden="false" customHeight="true" outlineLevel="0" collapsed="false">
      <c r="A28" s="87"/>
      <c r="B28" s="127" t="s">
        <v>39</v>
      </c>
      <c r="C28" s="124" t="s">
        <v>2421</v>
      </c>
      <c r="D28" s="125" t="s">
        <v>2065</v>
      </c>
      <c r="E28" s="126" t="s">
        <v>2065</v>
      </c>
      <c r="F28" s="26" t="s">
        <v>2422</v>
      </c>
    </row>
    <row r="29" customFormat="false" ht="58.5" hidden="false" customHeight="true" outlineLevel="0" collapsed="false">
      <c r="A29" s="81" t="s">
        <v>184</v>
      </c>
      <c r="B29" s="118" t="s">
        <v>35</v>
      </c>
      <c r="C29" s="119" t="s">
        <v>2423</v>
      </c>
      <c r="D29" s="120" t="s">
        <v>2065</v>
      </c>
      <c r="E29" s="121" t="s">
        <v>2424</v>
      </c>
      <c r="F29" s="122" t="s">
        <v>2425</v>
      </c>
    </row>
    <row r="30" customFormat="false" ht="58.5" hidden="false" customHeight="true" outlineLevel="0" collapsed="false">
      <c r="A30" s="81"/>
      <c r="B30" s="123" t="s">
        <v>37</v>
      </c>
      <c r="C30" s="124" t="s">
        <v>2426</v>
      </c>
      <c r="D30" s="125" t="s">
        <v>2424</v>
      </c>
      <c r="E30" s="126" t="s">
        <v>2065</v>
      </c>
      <c r="F30" s="26" t="s">
        <v>2427</v>
      </c>
    </row>
    <row r="31" customFormat="false" ht="97.5" hidden="false" customHeight="true" outlineLevel="0" collapsed="false">
      <c r="A31" s="81"/>
      <c r="B31" s="127" t="s">
        <v>39</v>
      </c>
      <c r="C31" s="124" t="s">
        <v>2428</v>
      </c>
      <c r="D31" s="125" t="s">
        <v>2065</v>
      </c>
      <c r="E31" s="126" t="s">
        <v>2065</v>
      </c>
      <c r="F31" s="26" t="s">
        <v>2065</v>
      </c>
    </row>
    <row r="32" customFormat="false" ht="84.75" hidden="false" customHeight="true" outlineLevel="0" collapsed="false">
      <c r="A32" s="87" t="s">
        <v>134</v>
      </c>
      <c r="B32" s="118" t="s">
        <v>35</v>
      </c>
      <c r="C32" s="119" t="s">
        <v>2429</v>
      </c>
      <c r="D32" s="120" t="s">
        <v>2430</v>
      </c>
      <c r="E32" s="121" t="s">
        <v>2431</v>
      </c>
      <c r="F32" s="122" t="s">
        <v>2065</v>
      </c>
    </row>
    <row r="33" customFormat="false" ht="72" hidden="false" customHeight="true" outlineLevel="0" collapsed="false">
      <c r="A33" s="87"/>
      <c r="B33" s="123" t="s">
        <v>37</v>
      </c>
      <c r="C33" s="124" t="s">
        <v>2432</v>
      </c>
      <c r="D33" s="125" t="s">
        <v>2433</v>
      </c>
      <c r="E33" s="126" t="s">
        <v>2434</v>
      </c>
      <c r="F33" s="26" t="s">
        <v>2065</v>
      </c>
    </row>
    <row r="34" customFormat="false" ht="111" hidden="false" customHeight="true" outlineLevel="0" collapsed="false">
      <c r="A34" s="87"/>
      <c r="B34" s="127" t="s">
        <v>39</v>
      </c>
      <c r="C34" s="124" t="s">
        <v>2435</v>
      </c>
      <c r="D34" s="125" t="s">
        <v>2430</v>
      </c>
      <c r="E34" s="126" t="s">
        <v>2065</v>
      </c>
      <c r="F34" s="26" t="s">
        <v>2065</v>
      </c>
    </row>
    <row r="35" customFormat="false" ht="45.75" hidden="false" customHeight="true" outlineLevel="0" collapsed="false">
      <c r="A35" s="81" t="s">
        <v>2342</v>
      </c>
      <c r="B35" s="118" t="s">
        <v>35</v>
      </c>
      <c r="C35" s="119" t="s">
        <v>2065</v>
      </c>
      <c r="D35" s="120" t="s">
        <v>2065</v>
      </c>
      <c r="E35" s="121" t="s">
        <v>2065</v>
      </c>
      <c r="F35" s="122" t="s">
        <v>2436</v>
      </c>
    </row>
    <row r="36" customFormat="false" ht="45.75" hidden="false" customHeight="true" outlineLevel="0" collapsed="false">
      <c r="A36" s="81"/>
      <c r="B36" s="123" t="s">
        <v>37</v>
      </c>
      <c r="C36" s="124" t="s">
        <v>2065</v>
      </c>
      <c r="D36" s="125" t="s">
        <v>2065</v>
      </c>
      <c r="E36" s="126" t="s">
        <v>2065</v>
      </c>
      <c r="F36" s="26" t="s">
        <v>2437</v>
      </c>
    </row>
    <row r="37" customFormat="false" ht="45.75" hidden="false" customHeight="true" outlineLevel="0" collapsed="false">
      <c r="A37" s="81"/>
      <c r="B37" s="127" t="s">
        <v>39</v>
      </c>
      <c r="C37" s="124" t="s">
        <v>2065</v>
      </c>
      <c r="D37" s="125" t="s">
        <v>2065</v>
      </c>
      <c r="E37" s="126" t="s">
        <v>2065</v>
      </c>
      <c r="F37" s="26" t="s">
        <v>2438</v>
      </c>
    </row>
    <row r="39" customFormat="false" ht="30" hidden="false" customHeight="true" outlineLevel="0" collapsed="false">
      <c r="A39" s="104" t="s">
        <v>2349</v>
      </c>
      <c r="B39" s="124" t="s">
        <v>2013</v>
      </c>
      <c r="C39" s="125" t="s">
        <v>2439</v>
      </c>
      <c r="D39" s="126" t="s">
        <v>1991</v>
      </c>
      <c r="E39" s="26" t="s">
        <v>2440</v>
      </c>
    </row>
    <row r="41" customFormat="false" ht="43.5" hidden="false" customHeight="true" outlineLevel="0" collapsed="false">
      <c r="A41" s="79" t="s">
        <v>2441</v>
      </c>
      <c r="B41" s="79"/>
      <c r="C41" s="79"/>
      <c r="D41" s="79"/>
      <c r="E41" s="79"/>
      <c r="F41" s="79"/>
    </row>
  </sheetData>
  <autoFilter ref="A4:F37"/>
  <mergeCells count="13">
    <mergeCell ref="A2:F2"/>
    <mergeCell ref="A5:A7"/>
    <mergeCell ref="A8:A10"/>
    <mergeCell ref="A11:A13"/>
    <mergeCell ref="A14:A16"/>
    <mergeCell ref="A17:A19"/>
    <mergeCell ref="A20:A22"/>
    <mergeCell ref="A23:A25"/>
    <mergeCell ref="A26:A28"/>
    <mergeCell ref="A29:A31"/>
    <mergeCell ref="A32:A34"/>
    <mergeCell ref="A35:A37"/>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20"/>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70" t="s">
        <v>2442</v>
      </c>
    </row>
    <row r="2" customFormat="false" ht="61.5" hidden="false" customHeight="true" outlineLevel="0" collapsed="false">
      <c r="A2" s="79" t="s">
        <v>2443</v>
      </c>
      <c r="B2" s="79"/>
      <c r="C2" s="79"/>
      <c r="D2" s="79"/>
      <c r="E2" s="79"/>
      <c r="F2" s="79"/>
      <c r="G2" s="79"/>
      <c r="H2" s="79"/>
    </row>
    <row r="4" customFormat="false" ht="15" hidden="false" customHeight="false" outlineLevel="0" collapsed="false">
      <c r="A4" s="7" t="s">
        <v>2444</v>
      </c>
    </row>
    <row r="5" customFormat="false" ht="15" hidden="false" customHeight="false" outlineLevel="0" collapsed="false">
      <c r="A5" s="3" t="s">
        <v>1740</v>
      </c>
      <c r="B5" s="3" t="s">
        <v>2445</v>
      </c>
      <c r="C5" s="3" t="s">
        <v>2446</v>
      </c>
      <c r="D5" s="3" t="s">
        <v>2447</v>
      </c>
    </row>
    <row r="6" customFormat="false" ht="75.75" hidden="false" customHeight="true" outlineLevel="0" collapsed="false">
      <c r="A6" s="128" t="s">
        <v>2448</v>
      </c>
      <c r="B6" s="5" t="s">
        <v>2449</v>
      </c>
      <c r="C6" s="5" t="s">
        <v>2450</v>
      </c>
      <c r="D6" s="5" t="s">
        <v>2451</v>
      </c>
    </row>
    <row r="7" customFormat="false" ht="75.75" hidden="false" customHeight="true" outlineLevel="0" collapsed="false">
      <c r="A7" s="128" t="s">
        <v>2452</v>
      </c>
      <c r="B7" s="5" t="s">
        <v>2453</v>
      </c>
      <c r="C7" s="5" t="s">
        <v>2454</v>
      </c>
      <c r="D7" s="5" t="s">
        <v>2455</v>
      </c>
    </row>
    <row r="8" customFormat="false" ht="75.75" hidden="false" customHeight="true" outlineLevel="0" collapsed="false">
      <c r="A8" s="128" t="s">
        <v>2456</v>
      </c>
      <c r="B8" s="5" t="s">
        <v>2457</v>
      </c>
      <c r="C8" s="5" t="s">
        <v>2458</v>
      </c>
      <c r="D8" s="5" t="s">
        <v>2459</v>
      </c>
    </row>
    <row r="9" customFormat="false" ht="75.75" hidden="false" customHeight="true" outlineLevel="0" collapsed="false">
      <c r="A9" s="128" t="s">
        <v>2460</v>
      </c>
      <c r="B9" s="5" t="s">
        <v>2461</v>
      </c>
      <c r="C9" s="5" t="s">
        <v>2462</v>
      </c>
      <c r="D9" s="5" t="s">
        <v>2463</v>
      </c>
    </row>
    <row r="10" customFormat="false" ht="75.75" hidden="false" customHeight="true" outlineLevel="0" collapsed="false">
      <c r="A10" s="128" t="s">
        <v>2464</v>
      </c>
      <c r="B10" s="5" t="s">
        <v>2465</v>
      </c>
      <c r="C10" s="5" t="s">
        <v>2466</v>
      </c>
      <c r="D10" s="5" t="s">
        <v>2467</v>
      </c>
    </row>
    <row r="11" customFormat="false" ht="43.5" hidden="false" customHeight="true" outlineLevel="0" collapsed="false">
      <c r="A11" s="129" t="s">
        <v>2468</v>
      </c>
      <c r="B11" s="129"/>
      <c r="C11" s="129"/>
      <c r="D11" s="129"/>
    </row>
    <row r="13" customFormat="false" ht="15" hidden="false" customHeight="false" outlineLevel="0" collapsed="false">
      <c r="A13" s="7" t="s">
        <v>2469</v>
      </c>
    </row>
    <row r="14" customFormat="false" ht="15" hidden="false" customHeight="false" outlineLevel="0" collapsed="false">
      <c r="A14" s="71" t="s">
        <v>2470</v>
      </c>
    </row>
    <row r="15" customFormat="false" ht="23.85" hidden="false" customHeight="false" outlineLevel="0" collapsed="false">
      <c r="A15" s="3" t="s">
        <v>2471</v>
      </c>
      <c r="B15" s="3" t="s">
        <v>2472</v>
      </c>
      <c r="C15" s="3" t="s">
        <v>2473</v>
      </c>
      <c r="D15" s="3" t="s">
        <v>2474</v>
      </c>
      <c r="E15" s="3" t="s">
        <v>2475</v>
      </c>
      <c r="F15" s="3" t="s">
        <v>2476</v>
      </c>
    </row>
    <row r="16" customFormat="false" ht="133.5" hidden="false" customHeight="true" outlineLevel="0" collapsed="false">
      <c r="A16" s="5" t="n">
        <v>1</v>
      </c>
      <c r="B16" s="128" t="s">
        <v>2477</v>
      </c>
      <c r="C16" s="5" t="s">
        <v>2478</v>
      </c>
      <c r="D16" s="5" t="s">
        <v>2479</v>
      </c>
      <c r="E16" s="5" t="s">
        <v>2480</v>
      </c>
      <c r="F16" s="5" t="s">
        <v>2481</v>
      </c>
    </row>
    <row r="17" customFormat="false" ht="133.5" hidden="false" customHeight="true" outlineLevel="0" collapsed="false">
      <c r="A17" s="5" t="n">
        <v>2</v>
      </c>
      <c r="B17" s="128" t="s">
        <v>2482</v>
      </c>
      <c r="C17" s="5" t="s">
        <v>2483</v>
      </c>
      <c r="D17" s="5" t="s">
        <v>2484</v>
      </c>
      <c r="E17" s="5" t="s">
        <v>2485</v>
      </c>
      <c r="F17" s="5" t="s">
        <v>2486</v>
      </c>
    </row>
    <row r="18" customFormat="false" ht="133.5" hidden="false" customHeight="true" outlineLevel="0" collapsed="false">
      <c r="A18" s="5" t="n">
        <v>3</v>
      </c>
      <c r="B18" s="128" t="s">
        <v>2487</v>
      </c>
      <c r="C18" s="5" t="s">
        <v>2488</v>
      </c>
      <c r="D18" s="5" t="s">
        <v>2489</v>
      </c>
      <c r="E18" s="5" t="s">
        <v>2490</v>
      </c>
      <c r="F18" s="5" t="s">
        <v>2491</v>
      </c>
    </row>
    <row r="19" customFormat="false" ht="133.5" hidden="false" customHeight="true" outlineLevel="0" collapsed="false">
      <c r="A19" s="5" t="n">
        <v>4</v>
      </c>
      <c r="B19" s="128" t="s">
        <v>2492</v>
      </c>
      <c r="C19" s="5" t="s">
        <v>2493</v>
      </c>
      <c r="D19" s="5" t="s">
        <v>2494</v>
      </c>
      <c r="E19" s="5" t="s">
        <v>2495</v>
      </c>
      <c r="F19" s="5" t="s">
        <v>2496</v>
      </c>
    </row>
    <row r="20" customFormat="false" ht="133.5" hidden="false" customHeight="true" outlineLevel="0" collapsed="false">
      <c r="A20" s="5" t="n">
        <v>5</v>
      </c>
      <c r="B20" s="128" t="s">
        <v>2497</v>
      </c>
      <c r="C20" s="5" t="s">
        <v>2498</v>
      </c>
      <c r="D20" s="5" t="s">
        <v>2499</v>
      </c>
      <c r="E20" s="5" t="s">
        <v>2500</v>
      </c>
      <c r="F20" s="5" t="s">
        <v>2501</v>
      </c>
    </row>
    <row r="22" customFormat="false" ht="15" hidden="false" customHeight="false" outlineLevel="0" collapsed="false">
      <c r="A22" s="7" t="s">
        <v>2502</v>
      </c>
    </row>
    <row r="23" customFormat="false" ht="15" hidden="false" customHeight="false" outlineLevel="0" collapsed="false">
      <c r="A23" s="3" t="s">
        <v>2471</v>
      </c>
      <c r="B23" s="3" t="s">
        <v>2503</v>
      </c>
      <c r="C23" s="3" t="s">
        <v>2504</v>
      </c>
      <c r="D23" s="3" t="s">
        <v>2505</v>
      </c>
      <c r="E23" s="89" t="s">
        <v>1970</v>
      </c>
      <c r="F23" s="90" t="s">
        <v>1975</v>
      </c>
      <c r="G23" s="91" t="s">
        <v>1978</v>
      </c>
    </row>
    <row r="24" customFormat="false" ht="126" hidden="false" customHeight="true" outlineLevel="0" collapsed="false">
      <c r="A24" s="5" t="n">
        <v>1</v>
      </c>
      <c r="B24" s="128" t="s">
        <v>2506</v>
      </c>
      <c r="C24" s="5" t="s">
        <v>2507</v>
      </c>
      <c r="D24" s="5" t="s">
        <v>2508</v>
      </c>
      <c r="E24" s="9" t="s">
        <v>2509</v>
      </c>
      <c r="F24" s="11" t="s">
        <v>2510</v>
      </c>
      <c r="G24" s="13" t="s">
        <v>2511</v>
      </c>
    </row>
    <row r="25" customFormat="false" ht="126" hidden="false" customHeight="true" outlineLevel="0" collapsed="false">
      <c r="A25" s="5" t="n">
        <v>2</v>
      </c>
      <c r="B25" s="128" t="s">
        <v>2512</v>
      </c>
      <c r="C25" s="5" t="s">
        <v>2513</v>
      </c>
      <c r="D25" s="5" t="s">
        <v>2514</v>
      </c>
      <c r="E25" s="9" t="s">
        <v>2515</v>
      </c>
      <c r="F25" s="11" t="s">
        <v>2516</v>
      </c>
      <c r="G25" s="13" t="s">
        <v>2517</v>
      </c>
    </row>
    <row r="26" customFormat="false" ht="126" hidden="false" customHeight="true" outlineLevel="0" collapsed="false">
      <c r="A26" s="5" t="n">
        <v>3</v>
      </c>
      <c r="B26" s="128" t="s">
        <v>2518</v>
      </c>
      <c r="C26" s="5" t="s">
        <v>2519</v>
      </c>
      <c r="D26" s="5" t="s">
        <v>2520</v>
      </c>
      <c r="E26" s="9" t="s">
        <v>2521</v>
      </c>
      <c r="F26" s="11" t="s">
        <v>2522</v>
      </c>
      <c r="G26" s="13" t="s">
        <v>2523</v>
      </c>
    </row>
    <row r="27" customFormat="false" ht="126" hidden="false" customHeight="true" outlineLevel="0" collapsed="false">
      <c r="A27" s="5" t="n">
        <v>4</v>
      </c>
      <c r="B27" s="128" t="s">
        <v>2524</v>
      </c>
      <c r="C27" s="5" t="s">
        <v>2525</v>
      </c>
      <c r="D27" s="5" t="s">
        <v>2526</v>
      </c>
      <c r="E27" s="9" t="s">
        <v>2527</v>
      </c>
      <c r="F27" s="11" t="s">
        <v>2528</v>
      </c>
      <c r="G27" s="13" t="s">
        <v>2529</v>
      </c>
    </row>
    <row r="28" customFormat="false" ht="126" hidden="false" customHeight="true" outlineLevel="0" collapsed="false">
      <c r="A28" s="5" t="n">
        <v>5</v>
      </c>
      <c r="B28" s="128" t="s">
        <v>2530</v>
      </c>
      <c r="C28" s="5" t="s">
        <v>2531</v>
      </c>
      <c r="D28" s="5" t="s">
        <v>2532</v>
      </c>
      <c r="E28" s="9" t="s">
        <v>2533</v>
      </c>
      <c r="F28" s="11" t="s">
        <v>2534</v>
      </c>
      <c r="G28" s="13" t="s">
        <v>2535</v>
      </c>
    </row>
    <row r="29" customFormat="false" ht="126" hidden="false" customHeight="true" outlineLevel="0" collapsed="false">
      <c r="A29" s="5" t="n">
        <v>6</v>
      </c>
      <c r="B29" s="128" t="s">
        <v>2536</v>
      </c>
      <c r="C29" s="5" t="s">
        <v>2537</v>
      </c>
      <c r="D29" s="5" t="s">
        <v>2538</v>
      </c>
      <c r="E29" s="9" t="s">
        <v>2539</v>
      </c>
      <c r="F29" s="11" t="s">
        <v>2540</v>
      </c>
      <c r="G29" s="13" t="s">
        <v>2541</v>
      </c>
    </row>
    <row r="30" customFormat="false" ht="126" hidden="false" customHeight="true" outlineLevel="0" collapsed="false">
      <c r="A30" s="5" t="n">
        <v>7</v>
      </c>
      <c r="B30" s="128" t="s">
        <v>2542</v>
      </c>
      <c r="C30" s="5" t="s">
        <v>2543</v>
      </c>
      <c r="D30" s="5" t="s">
        <v>2544</v>
      </c>
      <c r="E30" s="9" t="s">
        <v>2545</v>
      </c>
      <c r="F30" s="11" t="s">
        <v>2546</v>
      </c>
      <c r="G30" s="13" t="s">
        <v>2547</v>
      </c>
    </row>
    <row r="31" customFormat="false" ht="126" hidden="false" customHeight="true" outlineLevel="0" collapsed="false">
      <c r="A31" s="5" t="n">
        <v>8</v>
      </c>
      <c r="B31" s="128" t="s">
        <v>2548</v>
      </c>
      <c r="C31" s="5" t="s">
        <v>2549</v>
      </c>
      <c r="D31" s="5" t="s">
        <v>2550</v>
      </c>
      <c r="E31" s="9" t="s">
        <v>2551</v>
      </c>
      <c r="F31" s="11" t="s">
        <v>2552</v>
      </c>
      <c r="G31" s="13" t="s">
        <v>2553</v>
      </c>
    </row>
    <row r="32" customFormat="false" ht="126" hidden="false" customHeight="true" outlineLevel="0" collapsed="false">
      <c r="A32" s="5" t="n">
        <v>9</v>
      </c>
      <c r="B32" s="128" t="s">
        <v>2093</v>
      </c>
      <c r="C32" s="5" t="s">
        <v>2554</v>
      </c>
      <c r="D32" s="5" t="s">
        <v>2555</v>
      </c>
      <c r="E32" s="9" t="s">
        <v>2094</v>
      </c>
      <c r="F32" s="11" t="s">
        <v>2556</v>
      </c>
      <c r="G32" s="13" t="s">
        <v>2096</v>
      </c>
    </row>
    <row r="33" customFormat="false" ht="126" hidden="false" customHeight="true" outlineLevel="0" collapsed="false">
      <c r="A33" s="5" t="n">
        <v>10</v>
      </c>
      <c r="B33" s="128" t="s">
        <v>2104</v>
      </c>
      <c r="C33" s="5" t="s">
        <v>2557</v>
      </c>
      <c r="D33" s="5" t="s">
        <v>2558</v>
      </c>
      <c r="E33" s="9" t="s">
        <v>2559</v>
      </c>
      <c r="F33" s="11" t="s">
        <v>2560</v>
      </c>
      <c r="G33" s="13" t="s">
        <v>2561</v>
      </c>
    </row>
    <row r="35" customFormat="false" ht="15" hidden="false" customHeight="false" outlineLevel="0" collapsed="false">
      <c r="A35" s="7" t="s">
        <v>2562</v>
      </c>
    </row>
    <row r="36" customFormat="false" ht="31.5" hidden="false" customHeight="true" outlineLevel="0" collapsed="false">
      <c r="A36" s="79" t="s">
        <v>2563</v>
      </c>
      <c r="B36" s="79"/>
      <c r="C36" s="79"/>
      <c r="D36" s="79"/>
      <c r="E36" s="79"/>
      <c r="F36" s="79"/>
      <c r="G36" s="79"/>
    </row>
    <row r="37" customFormat="false" ht="15" hidden="false" customHeight="false" outlineLevel="0" collapsed="false">
      <c r="A37" s="3" t="s">
        <v>2564</v>
      </c>
      <c r="B37" s="3" t="s">
        <v>2565</v>
      </c>
      <c r="C37" s="3" t="s">
        <v>2566</v>
      </c>
      <c r="D37" s="3" t="s">
        <v>2474</v>
      </c>
      <c r="E37" s="3" t="s">
        <v>2104</v>
      </c>
      <c r="F37" s="3" t="s">
        <v>1969</v>
      </c>
      <c r="G37" s="3" t="s">
        <v>2567</v>
      </c>
    </row>
    <row r="38" customFormat="false" ht="123.75" hidden="false" customHeight="true" outlineLevel="0" collapsed="false">
      <c r="A38" s="34" t="s">
        <v>2568</v>
      </c>
      <c r="B38" s="32" t="s">
        <v>2569</v>
      </c>
      <c r="C38" s="72" t="s">
        <v>2570</v>
      </c>
      <c r="D38" s="72" t="s">
        <v>2571</v>
      </c>
      <c r="E38" s="72" t="s">
        <v>2572</v>
      </c>
      <c r="F38" s="99" t="s">
        <v>2573</v>
      </c>
      <c r="G38" s="72" t="s">
        <v>2574</v>
      </c>
    </row>
    <row r="39" customFormat="false" ht="123.75" hidden="false" customHeight="true" outlineLevel="0" collapsed="false">
      <c r="A39" s="75" t="s">
        <v>2575</v>
      </c>
      <c r="B39" s="6" t="s">
        <v>2576</v>
      </c>
      <c r="C39" s="76" t="s">
        <v>2577</v>
      </c>
      <c r="D39" s="76" t="s">
        <v>2578</v>
      </c>
      <c r="E39" s="76" t="s">
        <v>2579</v>
      </c>
      <c r="F39" s="99" t="s">
        <v>2580</v>
      </c>
      <c r="G39" s="76" t="s">
        <v>2581</v>
      </c>
    </row>
    <row r="40" customFormat="false" ht="123.75" hidden="false" customHeight="true" outlineLevel="0" collapsed="false">
      <c r="A40" s="34" t="s">
        <v>2582</v>
      </c>
      <c r="B40" s="32" t="s">
        <v>2583</v>
      </c>
      <c r="C40" s="72" t="s">
        <v>2584</v>
      </c>
      <c r="D40" s="72" t="s">
        <v>2585</v>
      </c>
      <c r="E40" s="72" t="s">
        <v>2586</v>
      </c>
      <c r="F40" s="99" t="s">
        <v>2587</v>
      </c>
      <c r="G40" s="72" t="s">
        <v>2588</v>
      </c>
    </row>
    <row r="41" customFormat="false" ht="123.75" hidden="false" customHeight="true" outlineLevel="0" collapsed="false">
      <c r="A41" s="75" t="s">
        <v>2589</v>
      </c>
      <c r="B41" s="6" t="s">
        <v>2590</v>
      </c>
      <c r="C41" s="76" t="s">
        <v>2591</v>
      </c>
      <c r="D41" s="76" t="s">
        <v>2592</v>
      </c>
      <c r="E41" s="76" t="s">
        <v>2593</v>
      </c>
      <c r="F41" s="99" t="s">
        <v>2594</v>
      </c>
      <c r="G41" s="76" t="s">
        <v>2595</v>
      </c>
    </row>
    <row r="42" customFormat="false" ht="123.75" hidden="false" customHeight="true" outlineLevel="0" collapsed="false">
      <c r="A42" s="34" t="s">
        <v>2596</v>
      </c>
      <c r="B42" s="32" t="s">
        <v>2597</v>
      </c>
      <c r="C42" s="72" t="s">
        <v>2598</v>
      </c>
      <c r="D42" s="72" t="s">
        <v>2599</v>
      </c>
      <c r="E42" s="72" t="s">
        <v>2600</v>
      </c>
      <c r="F42" s="99" t="s">
        <v>2601</v>
      </c>
      <c r="G42" s="72" t="s">
        <v>2602</v>
      </c>
    </row>
    <row r="43" customFormat="false" ht="123.75" hidden="false" customHeight="true" outlineLevel="0" collapsed="false">
      <c r="A43" s="75" t="s">
        <v>2603</v>
      </c>
      <c r="B43" s="6" t="s">
        <v>2604</v>
      </c>
      <c r="C43" s="76" t="s">
        <v>2605</v>
      </c>
      <c r="D43" s="76" t="s">
        <v>2606</v>
      </c>
      <c r="E43" s="76" t="s">
        <v>2607</v>
      </c>
      <c r="F43" s="99" t="s">
        <v>2608</v>
      </c>
      <c r="G43" s="76" t="s">
        <v>2609</v>
      </c>
    </row>
    <row r="44" customFormat="false" ht="123.75" hidden="false" customHeight="true" outlineLevel="0" collapsed="false">
      <c r="A44" s="34" t="s">
        <v>2610</v>
      </c>
      <c r="B44" s="32" t="s">
        <v>2611</v>
      </c>
      <c r="C44" s="72" t="s">
        <v>2612</v>
      </c>
      <c r="D44" s="72" t="s">
        <v>2613</v>
      </c>
      <c r="E44" s="72" t="s">
        <v>2614</v>
      </c>
      <c r="F44" s="99" t="s">
        <v>2615</v>
      </c>
      <c r="G44" s="72" t="s">
        <v>2616</v>
      </c>
    </row>
    <row r="45" customFormat="false" ht="123.75" hidden="false" customHeight="true" outlineLevel="0" collapsed="false">
      <c r="A45" s="75" t="s">
        <v>2617</v>
      </c>
      <c r="B45" s="6" t="s">
        <v>2618</v>
      </c>
      <c r="C45" s="76" t="s">
        <v>2619</v>
      </c>
      <c r="D45" s="76" t="s">
        <v>2620</v>
      </c>
      <c r="E45" s="76" t="s">
        <v>2621</v>
      </c>
      <c r="F45" s="99" t="s">
        <v>2622</v>
      </c>
      <c r="G45" s="76" t="s">
        <v>2623</v>
      </c>
    </row>
    <row r="46" customFormat="false" ht="123.75" hidden="false" customHeight="true" outlineLevel="0" collapsed="false">
      <c r="A46" s="34" t="s">
        <v>2624</v>
      </c>
      <c r="B46" s="32" t="s">
        <v>2625</v>
      </c>
      <c r="C46" s="72" t="s">
        <v>2626</v>
      </c>
      <c r="D46" s="72" t="s">
        <v>2627</v>
      </c>
      <c r="E46" s="72" t="s">
        <v>2628</v>
      </c>
      <c r="F46" s="99" t="s">
        <v>2629</v>
      </c>
      <c r="G46" s="72" t="s">
        <v>2630</v>
      </c>
    </row>
    <row r="47" customFormat="false" ht="123.75" hidden="false" customHeight="true" outlineLevel="0" collapsed="false">
      <c r="A47" s="75" t="s">
        <v>2631</v>
      </c>
      <c r="B47" s="6" t="s">
        <v>2632</v>
      </c>
      <c r="C47" s="76" t="s">
        <v>2633</v>
      </c>
      <c r="D47" s="76" t="s">
        <v>2634</v>
      </c>
      <c r="E47" s="76" t="s">
        <v>2635</v>
      </c>
      <c r="F47" s="101" t="s">
        <v>2636</v>
      </c>
      <c r="G47" s="76" t="s">
        <v>2637</v>
      </c>
    </row>
    <row r="48" customFormat="false" ht="123.75" hidden="false" customHeight="true" outlineLevel="0" collapsed="false">
      <c r="A48" s="34" t="s">
        <v>2638</v>
      </c>
      <c r="B48" s="32" t="s">
        <v>2639</v>
      </c>
      <c r="C48" s="72" t="s">
        <v>2640</v>
      </c>
      <c r="D48" s="72" t="s">
        <v>2641</v>
      </c>
      <c r="E48" s="72" t="s">
        <v>2642</v>
      </c>
      <c r="F48" s="100" t="s">
        <v>2643</v>
      </c>
      <c r="G48" s="72" t="s">
        <v>2644</v>
      </c>
    </row>
    <row r="49" customFormat="false" ht="123.75" hidden="false" customHeight="true" outlineLevel="0" collapsed="false">
      <c r="A49" s="75" t="s">
        <v>2645</v>
      </c>
      <c r="B49" s="6" t="s">
        <v>2646</v>
      </c>
      <c r="C49" s="76" t="s">
        <v>2647</v>
      </c>
      <c r="D49" s="76" t="s">
        <v>2648</v>
      </c>
      <c r="E49" s="76" t="s">
        <v>2649</v>
      </c>
      <c r="F49" s="101" t="s">
        <v>2650</v>
      </c>
      <c r="G49" s="76" t="s">
        <v>2651</v>
      </c>
    </row>
    <row r="50" customFormat="false" ht="123.75" hidden="false" customHeight="true" outlineLevel="0" collapsed="false">
      <c r="A50" s="34" t="s">
        <v>2652</v>
      </c>
      <c r="B50" s="32" t="s">
        <v>2653</v>
      </c>
      <c r="C50" s="72" t="s">
        <v>2654</v>
      </c>
      <c r="D50" s="72" t="s">
        <v>2655</v>
      </c>
      <c r="E50" s="72" t="s">
        <v>2656</v>
      </c>
      <c r="F50" s="101" t="s">
        <v>2657</v>
      </c>
      <c r="G50" s="72" t="s">
        <v>2658</v>
      </c>
    </row>
    <row r="51" customFormat="false" ht="123.75" hidden="false" customHeight="true" outlineLevel="0" collapsed="false">
      <c r="A51" s="75" t="s">
        <v>2659</v>
      </c>
      <c r="B51" s="6" t="s">
        <v>2660</v>
      </c>
      <c r="C51" s="76" t="s">
        <v>2661</v>
      </c>
      <c r="D51" s="76" t="s">
        <v>2662</v>
      </c>
      <c r="E51" s="76" t="s">
        <v>2663</v>
      </c>
      <c r="F51" s="99" t="s">
        <v>2664</v>
      </c>
      <c r="G51" s="76" t="s">
        <v>2665</v>
      </c>
    </row>
    <row r="52" customFormat="false" ht="123.75" hidden="false" customHeight="true" outlineLevel="0" collapsed="false">
      <c r="A52" s="34" t="s">
        <v>2666</v>
      </c>
      <c r="B52" s="32" t="s">
        <v>2667</v>
      </c>
      <c r="C52" s="72" t="s">
        <v>2668</v>
      </c>
      <c r="D52" s="72" t="s">
        <v>2669</v>
      </c>
      <c r="E52" s="72" t="s">
        <v>2670</v>
      </c>
      <c r="F52" s="100" t="s">
        <v>2671</v>
      </c>
      <c r="G52" s="72" t="s">
        <v>2672</v>
      </c>
    </row>
    <row r="53" customFormat="false" ht="123.75" hidden="false" customHeight="true" outlineLevel="0" collapsed="false">
      <c r="A53" s="75" t="s">
        <v>2673</v>
      </c>
      <c r="B53" s="6" t="s">
        <v>2674</v>
      </c>
      <c r="C53" s="76" t="s">
        <v>2675</v>
      </c>
      <c r="D53" s="76" t="s">
        <v>2676</v>
      </c>
      <c r="E53" s="76" t="s">
        <v>2677</v>
      </c>
      <c r="F53" s="100" t="s">
        <v>2678</v>
      </c>
      <c r="G53" s="76" t="s">
        <v>2679</v>
      </c>
    </row>
    <row r="54" customFormat="false" ht="123.75" hidden="false" customHeight="true" outlineLevel="0" collapsed="false">
      <c r="A54" s="34" t="s">
        <v>2680</v>
      </c>
      <c r="B54" s="32" t="s">
        <v>2681</v>
      </c>
      <c r="C54" s="72" t="s">
        <v>2682</v>
      </c>
      <c r="D54" s="72" t="s">
        <v>2683</v>
      </c>
      <c r="E54" s="72" t="s">
        <v>2684</v>
      </c>
      <c r="F54" s="100" t="s">
        <v>2685</v>
      </c>
      <c r="G54" s="72" t="s">
        <v>2686</v>
      </c>
    </row>
    <row r="55" customFormat="false" ht="123.75" hidden="false" customHeight="true" outlineLevel="0" collapsed="false">
      <c r="A55" s="75" t="s">
        <v>2687</v>
      </c>
      <c r="B55" s="6" t="s">
        <v>2688</v>
      </c>
      <c r="C55" s="76" t="s">
        <v>2689</v>
      </c>
      <c r="D55" s="76" t="s">
        <v>2690</v>
      </c>
      <c r="E55" s="76" t="s">
        <v>2684</v>
      </c>
      <c r="F55" s="101" t="s">
        <v>2691</v>
      </c>
      <c r="G55" s="76" t="s">
        <v>2692</v>
      </c>
    </row>
    <row r="56" customFormat="false" ht="123.75" hidden="false" customHeight="true" outlineLevel="0" collapsed="false">
      <c r="A56" s="34" t="s">
        <v>2693</v>
      </c>
      <c r="B56" s="32" t="s">
        <v>2694</v>
      </c>
      <c r="C56" s="72" t="s">
        <v>2695</v>
      </c>
      <c r="D56" s="72" t="s">
        <v>2696</v>
      </c>
      <c r="E56" s="72" t="s">
        <v>2656</v>
      </c>
      <c r="F56" s="100" t="s">
        <v>2685</v>
      </c>
      <c r="G56" s="72" t="s">
        <v>2697</v>
      </c>
    </row>
    <row r="57" customFormat="false" ht="57.75" hidden="false" customHeight="true" outlineLevel="0" collapsed="false">
      <c r="A57" s="79" t="s">
        <v>2698</v>
      </c>
      <c r="B57" s="79"/>
      <c r="C57" s="79"/>
      <c r="D57" s="79"/>
      <c r="E57" s="79"/>
      <c r="F57" s="79"/>
      <c r="G57" s="79"/>
    </row>
    <row r="59" customFormat="false" ht="15" hidden="false" customHeight="false" outlineLevel="0" collapsed="false">
      <c r="A59" s="7" t="s">
        <v>2699</v>
      </c>
    </row>
    <row r="60" customFormat="false" ht="61.5" hidden="false" customHeight="true" outlineLevel="0" collapsed="false">
      <c r="A60" s="130" t="s">
        <v>2700</v>
      </c>
      <c r="B60" s="130"/>
      <c r="C60" s="130"/>
      <c r="D60" s="130"/>
      <c r="E60" s="130"/>
      <c r="F60" s="130"/>
    </row>
    <row r="61" customFormat="false" ht="15" hidden="false" customHeight="false" outlineLevel="0" collapsed="false">
      <c r="A61" s="3" t="s">
        <v>2564</v>
      </c>
      <c r="B61" s="3" t="s">
        <v>2701</v>
      </c>
      <c r="C61" s="3" t="s">
        <v>2702</v>
      </c>
      <c r="D61" s="3" t="s">
        <v>1969</v>
      </c>
    </row>
    <row r="62" customFormat="false" ht="61.5" hidden="false" customHeight="true" outlineLevel="0" collapsed="false">
      <c r="A62" s="128" t="s">
        <v>2703</v>
      </c>
      <c r="B62" s="5" t="s">
        <v>2704</v>
      </c>
      <c r="C62" s="5" t="s">
        <v>2705</v>
      </c>
      <c r="D62" s="36" t="s">
        <v>2706</v>
      </c>
    </row>
    <row r="63" customFormat="false" ht="61.5" hidden="false" customHeight="true" outlineLevel="0" collapsed="false">
      <c r="A63" s="128" t="s">
        <v>2707</v>
      </c>
      <c r="B63" s="5" t="s">
        <v>2708</v>
      </c>
      <c r="C63" s="5" t="s">
        <v>2709</v>
      </c>
      <c r="D63" s="36" t="s">
        <v>2706</v>
      </c>
    </row>
    <row r="64" customFormat="false" ht="61.5" hidden="false" customHeight="true" outlineLevel="0" collapsed="false">
      <c r="A64" s="128" t="s">
        <v>727</v>
      </c>
      <c r="B64" s="5" t="s">
        <v>2710</v>
      </c>
      <c r="C64" s="5" t="s">
        <v>2711</v>
      </c>
      <c r="D64" s="36" t="s">
        <v>2712</v>
      </c>
    </row>
    <row r="65" customFormat="false" ht="61.5" hidden="false" customHeight="true" outlineLevel="0" collapsed="false">
      <c r="A65" s="128" t="s">
        <v>2713</v>
      </c>
      <c r="B65" s="5" t="s">
        <v>2714</v>
      </c>
      <c r="C65" s="5" t="s">
        <v>2715</v>
      </c>
      <c r="D65" s="36" t="s">
        <v>2716</v>
      </c>
    </row>
    <row r="66" customFormat="false" ht="61.5" hidden="false" customHeight="true" outlineLevel="0" collapsed="false">
      <c r="A66" s="128" t="s">
        <v>2717</v>
      </c>
      <c r="B66" s="5" t="s">
        <v>2710</v>
      </c>
      <c r="C66" s="5" t="s">
        <v>2718</v>
      </c>
      <c r="D66" s="43" t="s">
        <v>2685</v>
      </c>
    </row>
    <row r="67" customFormat="false" ht="61.5" hidden="false" customHeight="true" outlineLevel="0" collapsed="false">
      <c r="A67" s="128" t="s">
        <v>2719</v>
      </c>
      <c r="B67" s="5" t="s">
        <v>2710</v>
      </c>
      <c r="C67" s="5" t="s">
        <v>2720</v>
      </c>
      <c r="D67" s="43" t="s">
        <v>2685</v>
      </c>
    </row>
    <row r="68" customFormat="false" ht="61.5" hidden="false" customHeight="true" outlineLevel="0" collapsed="false">
      <c r="A68" s="128" t="s">
        <v>2721</v>
      </c>
      <c r="B68" s="5" t="s">
        <v>2722</v>
      </c>
      <c r="C68" s="5" t="s">
        <v>2723</v>
      </c>
      <c r="D68" s="36" t="s">
        <v>2724</v>
      </c>
    </row>
    <row r="69" customFormat="false" ht="61.5" hidden="false" customHeight="true" outlineLevel="0" collapsed="false">
      <c r="A69" s="128" t="s">
        <v>2725</v>
      </c>
      <c r="B69" s="5" t="s">
        <v>2726</v>
      </c>
      <c r="C69" s="5" t="s">
        <v>2727</v>
      </c>
      <c r="D69" s="36" t="s">
        <v>2728</v>
      </c>
    </row>
    <row r="70" customFormat="false" ht="61.5" hidden="false" customHeight="true" outlineLevel="0" collapsed="false">
      <c r="A70" s="128" t="s">
        <v>2729</v>
      </c>
      <c r="B70" s="5" t="s">
        <v>2730</v>
      </c>
      <c r="C70" s="5" t="s">
        <v>2731</v>
      </c>
      <c r="D70" s="131" t="s">
        <v>2732</v>
      </c>
    </row>
    <row r="72" customFormat="false" ht="33.75" hidden="false" customHeight="true" outlineLevel="0" collapsed="false">
      <c r="A72" s="14" t="s">
        <v>2733</v>
      </c>
      <c r="B72" s="14"/>
      <c r="C72" s="14"/>
      <c r="D72" s="14"/>
      <c r="E72" s="14"/>
      <c r="F72" s="14"/>
    </row>
    <row r="73" customFormat="false" ht="33.75" hidden="false" customHeight="true" outlineLevel="0" collapsed="false">
      <c r="A73" s="14" t="s">
        <v>2734</v>
      </c>
      <c r="B73" s="14"/>
      <c r="C73" s="14"/>
      <c r="D73" s="14"/>
      <c r="E73" s="14"/>
      <c r="F73" s="14"/>
    </row>
    <row r="74" customFormat="false" ht="33.75" hidden="false" customHeight="true" outlineLevel="0" collapsed="false">
      <c r="A74" s="14" t="s">
        <v>2735</v>
      </c>
      <c r="B74" s="14"/>
      <c r="C74" s="14"/>
      <c r="D74" s="14"/>
      <c r="E74" s="14"/>
      <c r="F74" s="14"/>
    </row>
    <row r="75" customFormat="false" ht="33.75" hidden="false" customHeight="true" outlineLevel="0" collapsed="false">
      <c r="A75" s="14" t="s">
        <v>2736</v>
      </c>
      <c r="B75" s="14"/>
      <c r="C75" s="14"/>
      <c r="D75" s="14"/>
      <c r="E75" s="14"/>
      <c r="F75" s="14"/>
    </row>
    <row r="76" customFormat="false" ht="33.75" hidden="false" customHeight="true" outlineLevel="0" collapsed="false">
      <c r="A76" s="14" t="s">
        <v>2737</v>
      </c>
      <c r="B76" s="14"/>
      <c r="C76" s="14"/>
      <c r="D76" s="14"/>
      <c r="E76" s="14"/>
      <c r="F76" s="14"/>
    </row>
    <row r="77" customFormat="false" ht="33.75" hidden="false" customHeight="true" outlineLevel="0" collapsed="false">
      <c r="A77" s="14" t="s">
        <v>2738</v>
      </c>
      <c r="B77" s="14"/>
      <c r="C77" s="14"/>
      <c r="D77" s="14"/>
      <c r="E77" s="14"/>
      <c r="F77" s="14"/>
    </row>
    <row r="79" customFormat="false" ht="15" hidden="false" customHeight="false" outlineLevel="0" collapsed="false">
      <c r="A79" s="7" t="s">
        <v>2739</v>
      </c>
    </row>
    <row r="80" customFormat="false" ht="15" hidden="false" customHeight="false" outlineLevel="0" collapsed="false">
      <c r="A80" s="3" t="s">
        <v>2740</v>
      </c>
      <c r="B80" s="3" t="s">
        <v>2741</v>
      </c>
      <c r="C80" s="3" t="s">
        <v>2742</v>
      </c>
    </row>
    <row r="81" customFormat="false" ht="91.5" hidden="false" customHeight="true" outlineLevel="0" collapsed="false">
      <c r="A81" s="128" t="s">
        <v>2743</v>
      </c>
      <c r="B81" s="5" t="s">
        <v>2744</v>
      </c>
      <c r="C81" s="5" t="s">
        <v>2745</v>
      </c>
    </row>
    <row r="82" customFormat="false" ht="91.5" hidden="false" customHeight="true" outlineLevel="0" collapsed="false">
      <c r="A82" s="128" t="s">
        <v>2746</v>
      </c>
      <c r="B82" s="5" t="s">
        <v>2747</v>
      </c>
      <c r="C82" s="5" t="s">
        <v>2748</v>
      </c>
    </row>
    <row r="83" customFormat="false" ht="91.5" hidden="false" customHeight="true" outlineLevel="0" collapsed="false">
      <c r="A83" s="128" t="s">
        <v>2749</v>
      </c>
      <c r="B83" s="5" t="s">
        <v>2750</v>
      </c>
      <c r="C83" s="5" t="s">
        <v>2751</v>
      </c>
    </row>
    <row r="84" customFormat="false" ht="91.5" hidden="false" customHeight="true" outlineLevel="0" collapsed="false">
      <c r="A84" s="128" t="s">
        <v>2752</v>
      </c>
      <c r="B84" s="5" t="s">
        <v>2753</v>
      </c>
      <c r="C84" s="5" t="s">
        <v>2754</v>
      </c>
    </row>
    <row r="85" customFormat="false" ht="91.5" hidden="false" customHeight="true" outlineLevel="0" collapsed="false">
      <c r="A85" s="128" t="s">
        <v>2755</v>
      </c>
      <c r="B85" s="5" t="s">
        <v>2756</v>
      </c>
      <c r="C85" s="5" t="s">
        <v>2757</v>
      </c>
    </row>
    <row r="86" customFormat="false" ht="91.5" hidden="false" customHeight="true" outlineLevel="0" collapsed="false">
      <c r="A86" s="128" t="s">
        <v>2758</v>
      </c>
      <c r="B86" s="5" t="s">
        <v>2759</v>
      </c>
      <c r="C86" s="5" t="s">
        <v>2760</v>
      </c>
    </row>
    <row r="87" customFormat="false" ht="91.5" hidden="false" customHeight="true" outlineLevel="0" collapsed="false">
      <c r="A87" s="128" t="s">
        <v>2761</v>
      </c>
      <c r="B87" s="5" t="s">
        <v>2762</v>
      </c>
      <c r="C87" s="5" t="s">
        <v>2763</v>
      </c>
    </row>
    <row r="89" customFormat="false" ht="15" hidden="false" customHeight="false" outlineLevel="0" collapsed="false">
      <c r="A89" s="7" t="s">
        <v>2764</v>
      </c>
    </row>
    <row r="90" customFormat="false" ht="42" hidden="false" customHeight="true" outlineLevel="0" collapsed="false">
      <c r="A90" s="14" t="s">
        <v>2765</v>
      </c>
      <c r="B90" s="14"/>
      <c r="C90" s="14"/>
      <c r="D90" s="14"/>
      <c r="E90" s="14"/>
      <c r="F90" s="14"/>
    </row>
    <row r="91" customFormat="false" ht="42" hidden="false" customHeight="true" outlineLevel="0" collapsed="false">
      <c r="A91" s="14" t="s">
        <v>2766</v>
      </c>
      <c r="B91" s="14"/>
      <c r="C91" s="14"/>
      <c r="D91" s="14"/>
      <c r="E91" s="14"/>
      <c r="F91" s="14"/>
    </row>
    <row r="92" customFormat="false" ht="42" hidden="false" customHeight="true" outlineLevel="0" collapsed="false">
      <c r="A92" s="14" t="s">
        <v>2767</v>
      </c>
      <c r="B92" s="14"/>
      <c r="C92" s="14"/>
      <c r="D92" s="14"/>
      <c r="E92" s="14"/>
      <c r="F92" s="14"/>
    </row>
    <row r="93" customFormat="false" ht="42" hidden="false" customHeight="true" outlineLevel="0" collapsed="false">
      <c r="A93" s="14" t="s">
        <v>2768</v>
      </c>
      <c r="B93" s="14"/>
      <c r="C93" s="14"/>
      <c r="D93" s="14"/>
      <c r="E93" s="14"/>
      <c r="F93" s="14"/>
    </row>
    <row r="94" customFormat="false" ht="42" hidden="false" customHeight="true" outlineLevel="0" collapsed="false">
      <c r="A94" s="14" t="s">
        <v>2769</v>
      </c>
      <c r="B94" s="14"/>
      <c r="C94" s="14"/>
      <c r="D94" s="14"/>
      <c r="E94" s="14"/>
      <c r="F94" s="14"/>
    </row>
    <row r="95" customFormat="false" ht="42" hidden="false" customHeight="true" outlineLevel="0" collapsed="false">
      <c r="A95" s="14" t="s">
        <v>2770</v>
      </c>
      <c r="B95" s="14"/>
      <c r="C95" s="14"/>
      <c r="D95" s="14"/>
      <c r="E95" s="14"/>
      <c r="F95" s="14"/>
    </row>
  </sheetData>
  <mergeCells count="17">
    <mergeCell ref="A2:H2"/>
    <mergeCell ref="A11:D11"/>
    <mergeCell ref="A36:G36"/>
    <mergeCell ref="A57:G57"/>
    <mergeCell ref="A60:F60"/>
    <mergeCell ref="A72:F72"/>
    <mergeCell ref="A73:F73"/>
    <mergeCell ref="A74:F74"/>
    <mergeCell ref="A75:F75"/>
    <mergeCell ref="A76:F76"/>
    <mergeCell ref="A77:F77"/>
    <mergeCell ref="A90:F90"/>
    <mergeCell ref="A91:F91"/>
    <mergeCell ref="A92:F92"/>
    <mergeCell ref="A93:F93"/>
    <mergeCell ref="A94:F94"/>
    <mergeCell ref="A95:F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70" t="s">
        <v>2771</v>
      </c>
    </row>
    <row r="3" customFormat="false" ht="23.85" hidden="false" customHeight="false" outlineLevel="0" collapsed="false">
      <c r="A3" s="3" t="s">
        <v>166</v>
      </c>
      <c r="B3" s="3" t="s">
        <v>2772</v>
      </c>
      <c r="C3" s="3" t="s">
        <v>2773</v>
      </c>
      <c r="D3" s="3" t="s">
        <v>2774</v>
      </c>
      <c r="E3" s="3" t="s">
        <v>2775</v>
      </c>
      <c r="F3" s="3" t="s">
        <v>2776</v>
      </c>
    </row>
    <row r="4" customFormat="false" ht="69.75" hidden="false" customHeight="true" outlineLevel="0" collapsed="false">
      <c r="A4" s="5" t="s">
        <v>199</v>
      </c>
      <c r="B4" s="5" t="s">
        <v>200</v>
      </c>
      <c r="C4" s="5" t="s">
        <v>201</v>
      </c>
      <c r="D4" s="5" t="s">
        <v>2777</v>
      </c>
      <c r="E4" s="5" t="n">
        <f aca="false">COUNTIF('Consolidated Data'!$B$2:$B$231,"Laura Lopez")</f>
        <v>215</v>
      </c>
      <c r="F4" s="5" t="s">
        <v>2778</v>
      </c>
    </row>
    <row r="5" customFormat="false" ht="69.75" hidden="false" customHeight="true" outlineLevel="0" collapsed="false">
      <c r="A5" s="5" t="s">
        <v>1584</v>
      </c>
      <c r="B5" s="5" t="s">
        <v>1585</v>
      </c>
      <c r="C5" s="5" t="s">
        <v>1586</v>
      </c>
      <c r="D5" s="5" t="s">
        <v>2779</v>
      </c>
      <c r="E5" s="5" t="n">
        <f aca="false">COUNTIF('Consolidated Data'!$B$2:$B$231,"Ken Witzgall")</f>
        <v>2</v>
      </c>
      <c r="F5" s="5" t="s">
        <v>2780</v>
      </c>
    </row>
    <row r="6" customFormat="false" ht="69.75" hidden="false" customHeight="true" outlineLevel="0" collapsed="false">
      <c r="A6" s="5" t="s">
        <v>1618</v>
      </c>
      <c r="B6" s="5" t="s">
        <v>1619</v>
      </c>
      <c r="C6" s="5" t="s">
        <v>1620</v>
      </c>
      <c r="D6" s="5" t="s">
        <v>2781</v>
      </c>
      <c r="E6" s="5" t="n">
        <f aca="false">COUNTIF('Consolidated Data'!$B$2:$B$231,"Scott Wood")</f>
        <v>2</v>
      </c>
      <c r="F6" s="5" t="s">
        <v>2782</v>
      </c>
    </row>
    <row r="7" customFormat="false" ht="69.75" hidden="false" customHeight="true" outlineLevel="0" collapsed="false">
      <c r="A7" s="5" t="s">
        <v>1634</v>
      </c>
      <c r="B7" s="5" t="s">
        <v>1635</v>
      </c>
      <c r="C7" s="5" t="s">
        <v>1620</v>
      </c>
      <c r="D7" s="5" t="s">
        <v>2783</v>
      </c>
      <c r="E7" s="5" t="n">
        <f aca="false">COUNTIF('Consolidated Data'!$B$2:$B$231,"Jennifer Saxman")</f>
        <v>11</v>
      </c>
      <c r="F7" s="5" t="s">
        <v>2784</v>
      </c>
    </row>
    <row r="9" customFormat="false" ht="15" hidden="false" customHeight="false" outlineLevel="0" collapsed="false">
      <c r="A9" s="7" t="s">
        <v>2785</v>
      </c>
    </row>
    <row r="10" customFormat="false" ht="43.5" hidden="false" customHeight="true" outlineLevel="0" collapsed="false">
      <c r="A10" s="14" t="s">
        <v>2786</v>
      </c>
      <c r="B10" s="14"/>
      <c r="C10" s="14"/>
      <c r="D10" s="14"/>
      <c r="E10" s="14"/>
      <c r="F10" s="14"/>
    </row>
    <row r="11" customFormat="false" ht="43.5" hidden="false" customHeight="true" outlineLevel="0" collapsed="false">
      <c r="A11" s="14" t="s">
        <v>2787</v>
      </c>
      <c r="B11" s="14"/>
      <c r="C11" s="14"/>
      <c r="D11" s="14"/>
      <c r="E11" s="14"/>
      <c r="F11" s="14"/>
    </row>
    <row r="12" customFormat="false" ht="43.5" hidden="false" customHeight="true" outlineLevel="0" collapsed="false">
      <c r="A12" s="14" t="s">
        <v>2788</v>
      </c>
      <c r="B12" s="14"/>
      <c r="C12" s="14"/>
      <c r="D12" s="14"/>
      <c r="E12" s="14"/>
      <c r="F12" s="14"/>
    </row>
    <row r="13" customFormat="false" ht="43.5" hidden="false" customHeight="true" outlineLevel="0" collapsed="false">
      <c r="A13" s="14" t="s">
        <v>2789</v>
      </c>
      <c r="B13" s="14"/>
      <c r="C13" s="14"/>
      <c r="D13" s="14"/>
      <c r="E13" s="14"/>
      <c r="F13" s="14"/>
    </row>
    <row r="14" customFormat="false" ht="43.5" hidden="false" customHeight="true" outlineLevel="0" collapsed="false">
      <c r="A14" s="14" t="s">
        <v>2790</v>
      </c>
      <c r="B14" s="14"/>
      <c r="C14" s="14"/>
      <c r="D14" s="14"/>
      <c r="E14" s="14"/>
      <c r="F14" s="14"/>
    </row>
    <row r="15" customFormat="false" ht="43.5" hidden="false" customHeight="true" outlineLevel="0" collapsed="false">
      <c r="A15" s="14" t="s">
        <v>2791</v>
      </c>
      <c r="B15" s="14"/>
      <c r="C15" s="14"/>
      <c r="D15" s="14"/>
      <c r="E15" s="14"/>
      <c r="F15" s="14"/>
    </row>
    <row r="16" customFormat="false" ht="43.5" hidden="false" customHeight="true" outlineLevel="0" collapsed="false">
      <c r="A16" s="14" t="s">
        <v>2792</v>
      </c>
      <c r="B16" s="14"/>
      <c r="C16" s="14"/>
      <c r="D16" s="14"/>
      <c r="E16" s="14"/>
      <c r="F16" s="14"/>
    </row>
    <row r="17" customFormat="false" ht="43.5" hidden="false" customHeight="true" outlineLevel="0" collapsed="false">
      <c r="A17" s="14" t="s">
        <v>2793</v>
      </c>
      <c r="B17" s="14"/>
      <c r="C17" s="14"/>
      <c r="D17" s="14"/>
      <c r="E17" s="14"/>
      <c r="F17" s="14"/>
    </row>
    <row r="18" customFormat="false" ht="43.5" hidden="false" customHeight="true" outlineLevel="0" collapsed="false">
      <c r="A18" s="14" t="s">
        <v>2794</v>
      </c>
      <c r="B18" s="14"/>
      <c r="C18" s="14"/>
      <c r="D18" s="14"/>
      <c r="E18" s="14"/>
      <c r="F18" s="14"/>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2026-09-18T10:57:07Z</dcterms:created>
  <dc:creator>openpyxl</dc:creator>
  <dc:description/>
  <dc:language>en-US</dc:language>
  <cp:lastModifiedBy/>
  <dcterms:modified xsi:type="dcterms:W3CDTF">2026-09-18T10:57:08Z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
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onsolidated Data" sheetId="2" state="visible" r:id="rId4"/>
    <sheet name="Synthesis" sheetId="3" state="visible" r:id="rId5"/>
    <sheet name="Good-Better-Best" sheetId="4" state="visible" r:id="rId6"/>
    <sheet name="Service Elements" sheetId="5" state="visible" r:id="rId7"/>
    <sheet name="Transportation Detail" sheetId="6" state="visible" r:id="rId8"/>
    <sheet name="Sources &amp; Method" sheetId="7" state="visible" r:id="rId9"/>
  </sheets>
  <definedNames>
    <definedName function="false" hidden="true" localSheetId="1" name="_xlnm._FilterDatabase" vbProcedure="false">'Consolidated Data'!$A$1:$AI$231</definedName>
    <definedName function="false" hidden="true" localSheetId="3" name="_xlnm._FilterDatabase" vbProcedure="false">'Good-Better-Best'!$A$4:$F$34</definedName>
    <definedName function="false" hidden="true" localSheetId="4" name="_xlnm._FilterDatabase" vbProcedure="false">'Service Elements'!$A$4:$H$75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Parsed from "Pricing (as reported)": lowest monthly figure &lt; $10,000, excluding entry/entrance fees, deposits and community fees. Blank = no monthly figure reported.</t>
        </r>
      </text>
    </comment>
    <comment ref="N1" authorId="0">
      <text>
        <r>
          <rPr>
            <sz val="10"/>
            <rFont val="Arial"/>
            <family val="2"/>
          </rPr>
          <t xml:space="preserve">Service columns are tinted by status: green = included, amber = available at extra cost, orange = not provided, grey = not stated. Rows are tinted by source: white/blue = Laura Lopez, yellow = Ken Witzgall, green = Scott Wood, orange = Jennifer Saxman.</t>
        </r>
      </text>
    </comment>
    <comment ref="AA1" authorId="0">
      <text>
        <r>
          <rPr>
            <sz val="10"/>
            <rFont val="Arial"/>
            <family val="2"/>
          </rPr>
          <t xml:space="preserve">Tier columns are derived from the text in the matching function column: Included / Included (limited) / Available (extra cost) / Not provided / Not stated. Used by the Synthesis tab counts.</t>
        </r>
      </text>
    </comment>
  </commentList>
</comments>
</file>

<file path=xl/sharedStrings.xml><?xml version="1.0" encoding="utf-8"?>
<sst xmlns="http://schemas.openxmlformats.org/spreadsheetml/2006/main" count="6776" uniqueCount="2499">
  <si>
    <t xml:space="preserve">Cottage &amp; Villa Service Benchmark — Start Here</t>
  </si>
  <si>
    <t xml:space="preserve">Purpose: decide which services to offer cottage residents, function by function, at three levels. Built from four sources plus a two-round web research and verification pass.</t>
  </si>
  <si>
    <t xml:space="preserve">Tab</t>
  </si>
  <si>
    <t xml:space="preserve">What it is</t>
  </si>
  <si>
    <t xml:space="preserve">How to read it</t>
  </si>
  <si>
    <t xml:space="preserve">Use it when</t>
  </si>
  <si>
    <t xml:space="preserve">1. Consolidated Data</t>
  </si>
  <si>
    <t xml:space="preserve">Every community and model from all four sources, ONE ROW PER PROPERTY. 230 rows, 35 columns.</t>
  </si>
  <si>
    <t xml:space="preserve">Rows are colour-banded by source: white/blue = Laura Lopez, yellow = Ken Witzgall, green = Scott Wood, orange = Jennifer Saxman. The nine service columns are tinted by status — green = included, amber = available at extra cost, orange = not provided, grey = not stated. Freeze panes hold the community name while you scroll right. Use the filter arrows in row 1.</t>
  </si>
  <si>
    <t xml:space="preserve">You want the raw evidence for one community, or want to filter to a state, operator or service.</t>
  </si>
  <si>
    <t xml:space="preserve">2. Synthesis</t>
  </si>
  <si>
    <t xml:space="preserve">What the data adds up to: live counts of how often each service is included, a pricing snapshot, and a function-by-function comparison of what each of the four sources says.</t>
  </si>
  <si>
    <t xml:space="preserve">Section 1 counts are live formulas over the Consolidated Data tab, so they update if you edit rows. Section 3 is the narrative comparison. Section 4 lists the cross-source observations.</t>
  </si>
  <si>
    <t xml:space="preserve">You want the "so what" without reading 230 rows, or need a number to quote.</t>
  </si>
  <si>
    <t xml:space="preserve">3. Good-Better-Best</t>
  </si>
  <si>
    <t xml:space="preserve">THE RECOMMENDATION. One block per function, with three rows each: GOOD, BETTER, BEST.</t>
  </si>
  <si>
    <t xml:space="preserve">Read any single row to see what to offer at that level. Green / blue / orange bands mark the level. The Function, evidence and price columns are merged across each block of three because they apply to the whole function.</t>
  </si>
  <si>
    <t xml:space="preserve">You are deciding what the product should actually include.</t>
  </si>
  <si>
    <t xml:space="preserve">4. Service Elements</t>
  </si>
  <si>
    <t xml:space="preserve">The detail behind tab 3: every individual service element, with an Included / A la carte / Not offered call at each level.</t>
  </si>
  <si>
    <t xml:space="preserve">Green = included in the fee, amber = available at a posted price, grey = not offered. The prevalence column shows how many of the 215 villa-study communities mention that element.</t>
  </si>
  <si>
    <t xml:space="preserve">You are building the actual service spec or the a la carte price list.</t>
  </si>
  <si>
    <t xml:space="preserve">5. Transportation Detail</t>
  </si>
  <si>
    <t xml:space="preserve">A deep dive on one function, because all 55 transportation entries in the villa study said only the word "Transportation".</t>
  </si>
  <si>
    <t xml:space="preserve">Sections A to G. Section B lists the five service models found. Section D is the community evidence with a verification status on each row. Section E answers the cottage-versus-apartment question. SECTION F MATTERS: it explains what is verified and what was found to be fabricated.</t>
  </si>
  <si>
    <t xml:space="preserve">You need to know what "transportation included" actually means, or want the template for researching the other functions.</t>
  </si>
  <si>
    <t xml:space="preserve">6. Sources &amp; Method</t>
  </si>
  <si>
    <t xml:space="preserve">Attribution, caveats and how the analysis was built.</t>
  </si>
  <si>
    <t xml:space="preserve">One row per source, with what it contributes and what to distrust.</t>
  </si>
  <si>
    <t xml:space="preserve">You are checking where a number came from, or preparing to share this externally.</t>
  </si>
  <si>
    <t xml:space="preserve">The three levels, in one line each</t>
  </si>
  <si>
    <t xml:space="preserve">GOOD — Maintenance-Free Essentials</t>
  </si>
  <si>
    <t xml:space="preserve">Remove the work of owning a house, and nothing more. Maintenance, grounds, snow, base utilities, emergency response, a scheduled shuttle and full campus access. Dining, housekeeping and convenience services are bought separately at published prices.</t>
  </si>
  <si>
    <t xml:space="preserve">BETTER — Base + Choice</t>
  </si>
  <si>
    <t xml:space="preserve">The maintenance-free floor, plus a bundled mid-level package: bi-weekly housekeeping, full utilities with cable and Wi-Fi, a monthly dining credit, a wellness clinic, and weekday medical transport. Everything else sits on a published add-on menu billed monthly.</t>
  </si>
  <si>
    <t xml:space="preserve">BEST — Bundled Villa Experience</t>
  </si>
  <si>
    <t xml:space="preserve">An all-inclusive fee: weekly housekeeping with linen, a daily meal with delivery, all utilities, 24/7 concierge, a personal trip allowance, a wellness allowance and enhanced security.</t>
  </si>
  <si>
    <t xml:space="preserve">Three things to know before you rely on this</t>
  </si>
  <si>
    <t xml:space="preserve">• The four sources describe services at very different depths. The villa study is an inventory of what community websites advertised in October 2023, so "not stated" usually means the website did not list it, not that the service is absent.</t>
  </si>
  <si>
    <t xml:space="preserve">• Nothing in the market research could be read directly from community websites; this environment blocks them. Findings come from web search, and every important quote was re-tested. Several plausible-sounding details turned out to be fabricated by directory sites and were removed. Section F of the Transportation Detail tab documents this.</t>
  </si>
  <si>
    <t xml:space="preserve">• Price is deliberately secondary throughout. The unit price point will later decide which level fits which product, but the decision being made now is what services to offer. Source price references are kept in the last column of tab 3 for that later step.</t>
  </si>
  <si>
    <t xml:space="preserve">Row ID</t>
  </si>
  <si>
    <t xml:space="preserve">Source (Person)</t>
  </si>
  <si>
    <t xml:space="preserve">Source Document</t>
  </si>
  <si>
    <t xml:space="preserve">Source Date</t>
  </si>
  <si>
    <t xml:space="preserve">Community / Company / Model</t>
  </si>
  <si>
    <t xml:space="preserve">Operator</t>
  </si>
  <si>
    <t xml:space="preserve">Location</t>
  </si>
  <si>
    <t xml:space="preserve">Community Type / Model</t>
  </si>
  <si>
    <t xml:space="preserve">Villa / Cottage Count</t>
  </si>
  <si>
    <t xml:space="preserve">Pricing (as reported)</t>
  </si>
  <si>
    <t xml:space="preserve">Monthly Fee Low ($)</t>
  </si>
  <si>
    <t xml:space="preserve">Monthly Fee High ($)</t>
  </si>
  <si>
    <t xml:space="preserve">Entry Fee?</t>
  </si>
  <si>
    <t xml:space="preserve">Transportation</t>
  </si>
  <si>
    <t xml:space="preserve">Life Enrichment / Campus Amenities</t>
  </si>
  <si>
    <t xml:space="preserve">Culinary / Dining</t>
  </si>
  <si>
    <t xml:space="preserve">Housekeeping / Laundry &amp; Linen</t>
  </si>
  <si>
    <t xml:space="preserve">Wellness / Fitness / Health</t>
  </si>
  <si>
    <t xml:space="preserve">Emergency / Safety / Security</t>
  </si>
  <si>
    <t xml:space="preserve">Maintenance (Interior / Exterior / Grounds)</t>
  </si>
  <si>
    <t xml:space="preserve">Utilities / Taxes / Insurance</t>
  </si>
  <si>
    <t xml:space="preserve">Additional / À La Carte / Concierge</t>
  </si>
  <si>
    <t xml:space="preserve">Residence Features (garage, W/D, patio, etc.)</t>
  </si>
  <si>
    <t xml:space="preserve">Notes / Flags</t>
  </si>
  <si>
    <t xml:space="preserve">Sub-market / Map Reference (Lopez)</t>
  </si>
  <si>
    <t xml:space="preserve">Year Opened</t>
  </si>
  <si>
    <t xml:space="preserve">Tier: Transportation</t>
  </si>
  <si>
    <t xml:space="preserve">Tier: Life Enrichment / Campus Amenities</t>
  </si>
  <si>
    <t xml:space="preserve">Tier: Culinary / Dining</t>
  </si>
  <si>
    <t xml:space="preserve">Tier: Housekeeping / Laundry &amp; Linen</t>
  </si>
  <si>
    <t xml:space="preserve">Tier: Wellness / Fitness / Health</t>
  </si>
  <si>
    <t xml:space="preserve">Tier: Emergency / Safety / Security</t>
  </si>
  <si>
    <t xml:space="preserve">Tier: Maintenance (Interior / Exterior / Grounds)</t>
  </si>
  <si>
    <t xml:space="preserve">Tier: Utilities / Taxes / Insurance</t>
  </si>
  <si>
    <t xml:space="preserve">Tier: Additional / À La Carte / Concierge</t>
  </si>
  <si>
    <t xml:space="preserve">Laura Lopez</t>
  </si>
  <si>
    <t xml:space="preserve">Word doc: Villa Study Scratch List (Updated Oct 2023)</t>
  </si>
  <si>
    <t xml:space="preserve">Oct 2023 (doc); received by email Sept 2026</t>
  </si>
  <si>
    <t xml:space="preserve">Friendship Village Kalamazoo</t>
  </si>
  <si>
    <t xml:space="preserve">Life Care Services</t>
  </si>
  <si>
    <t xml:space="preserve">Kalamazoo, MI</t>
  </si>
  <si>
    <t xml:space="preserve">CCRC</t>
  </si>
  <si>
    <t xml:space="preserve">50 villas</t>
  </si>
  <si>
    <t xml:space="preserve">2 Bed/2 Bath, 1300 sq ft: $2926; Entry Fee: $233,130 - $369,900 | 3 Bed/2 Bath, 1500 sq ft: $3346; EF: $261,530 - $415,000 | 3 Bed/2.5 bath, 1800 sq ft: $4006; EF: $304,990 - $483,900</t>
  </si>
  <si>
    <t xml:space="preserve">Yes</t>
  </si>
  <si>
    <t xml:space="preserve">Main Campus amenities (pool; gym w/ trainer; chaplain; café; general store)</t>
  </si>
  <si>
    <t xml:space="preserve">Bi-Weekly Housekeeping</t>
  </si>
  <si>
    <t xml:space="preserve">(via campus amenities) Main Campus amenities (pool; gym w/ trainer; chaplain; café; general store)</t>
  </si>
  <si>
    <t xml:space="preserve">Emergency call system</t>
  </si>
  <si>
    <t xml:space="preserve">All utilities, including cable</t>
  </si>
  <si>
    <t xml:space="preserve">In-unit washer/dryer; 1.5 car attached garage</t>
  </si>
  <si>
    <t xml:space="preserve">Kalamazoo Acquisition – Fountains at Bronson Place</t>
  </si>
  <si>
    <t xml:space="preserve">Included</t>
  </si>
  <si>
    <t xml:space="preserve">Not stated</t>
  </si>
  <si>
    <t xml:space="preserve">Wittenberg Village</t>
  </si>
  <si>
    <t xml:space="preserve">Lutheran Life Communities</t>
  </si>
  <si>
    <t xml:space="preserve">Crown Point, IN</t>
  </si>
  <si>
    <t xml:space="preserve">47 Villas</t>
  </si>
  <si>
    <t xml:space="preserve">CCRC (entry fee not stated)</t>
  </si>
  <si>
    <t xml:space="preserve">Campus amenities (chapel/chaplain; country store; fitness center</t>
  </si>
  <si>
    <t xml:space="preserve">One meal per day</t>
  </si>
  <si>
    <t xml:space="preserve">B-weekly housekeeping &amp; flat linen service</t>
  </si>
  <si>
    <t xml:space="preserve">(via campus amenities) Campus amenities (chapel/chaplain; country store; fitness center</t>
  </si>
  <si>
    <t xml:space="preserve">Basic cable &amp; Wi-Fi</t>
  </si>
  <si>
    <t xml:space="preserve">Many with a garage</t>
  </si>
  <si>
    <t xml:space="preserve">NW Indiana</t>
  </si>
  <si>
    <t xml:space="preserve">1974</t>
  </si>
  <si>
    <t xml:space="preserve">The Moorings of Arlington Heights</t>
  </si>
  <si>
    <t xml:space="preserve">Presbyterian Homes</t>
  </si>
  <si>
    <t xml:space="preserve">Arlington Heights, IL</t>
  </si>
  <si>
    <t xml:space="preserve">72 Villas (1276 – 2036 sq ft)</t>
  </si>
  <si>
    <t xml:space="preserve">$4620 for a villa; Entrance Fee: $299,600</t>
  </si>
  <si>
    <t xml:space="preserve">Campus amenities (pool; fitness center)</t>
  </si>
  <si>
    <t xml:space="preserve">Weekly Housekeeping</t>
  </si>
  <si>
    <t xml:space="preserve">(via campus amenities) Campus amenities (pool; fitness center)</t>
  </si>
  <si>
    <t xml:space="preserve">$490 per month “discretionary dollar account”</t>
  </si>
  <si>
    <t xml:space="preserve">Attached two-car garage; In-unit washer/dryer; Some include basements</t>
  </si>
  <si>
    <t xml:space="preserve">NW Chicago New Dev – Schaumburg add Comps</t>
  </si>
  <si>
    <t xml:space="preserve">1989</t>
  </si>
  <si>
    <t xml:space="preserve">Newcastle Place</t>
  </si>
  <si>
    <t xml:space="preserve">Life Care Services, LLC</t>
  </si>
  <si>
    <t xml:space="preserve">Mequon, WI</t>
  </si>
  <si>
    <t xml:space="preserve">29 Villas (1718 – 1982 sq ft)</t>
  </si>
  <si>
    <t xml:space="preserve">Bi-weekly housekeeping &amp; linen service</t>
  </si>
  <si>
    <t xml:space="preserve">All utilities including cable &amp; Wi-Fi</t>
  </si>
  <si>
    <t xml:space="preserve">Attached two-car garage; 2 Bed/2 Bath; In-unit washer/dryer</t>
  </si>
  <si>
    <t xml:space="preserve">Wright House, Mequon WI</t>
  </si>
  <si>
    <t xml:space="preserve">2003</t>
  </si>
  <si>
    <t xml:space="preserve">Crown Point Christian Village</t>
  </si>
  <si>
    <t xml:space="preserve">Christian Homes, Inc.</t>
  </si>
  <si>
    <t xml:space="preserve">Villa, AL, MC</t>
  </si>
  <si>
    <t xml:space="preserve">20 Villas (up to 1614 sq ft)</t>
  </si>
  <si>
    <t xml:space="preserve">Weekly continental breakfast</t>
  </si>
  <si>
    <t xml:space="preserve">Bi-weekly housekeeping</t>
  </si>
  <si>
    <t xml:space="preserve">Paid utilities including basic cable &amp; Wi-Fi</t>
  </si>
  <si>
    <t xml:space="preserve">2 Bed/2 Bath; In-unit washer/dryer; Attached one-car garage</t>
  </si>
  <si>
    <t xml:space="preserve">1993</t>
  </si>
  <si>
    <t xml:space="preserve">Friendship Village of Schaumburg</t>
  </si>
  <si>
    <t xml:space="preserve">Friendship Senior Options</t>
  </si>
  <si>
    <t xml:space="preserve">Schaumburg, IL</t>
  </si>
  <si>
    <t xml:space="preserve">28 Villas (1350 – 1750 sq ft)</t>
  </si>
  <si>
    <t xml:space="preserve">Attached garage; In-unit washer/dryer w/ laundry room</t>
  </si>
  <si>
    <t xml:space="preserve">1977</t>
  </si>
  <si>
    <t xml:space="preserve">Sunrise of Olympia Fields</t>
  </si>
  <si>
    <t xml:space="preserve">Sunrise Senior Living</t>
  </si>
  <si>
    <t xml:space="preserve">Olympia Fields, IL</t>
  </si>
  <si>
    <t xml:space="preserve">Villa, IL, AL</t>
  </si>
  <si>
    <t xml:space="preserve">32 Villas</t>
  </si>
  <si>
    <t xml:space="preserve">Frankfort, IL (New Dev)</t>
  </si>
  <si>
    <t xml:space="preserve">1999</t>
  </si>
  <si>
    <t xml:space="preserve">Smith Crossing</t>
  </si>
  <si>
    <t xml:space="preserve">Smith Senior Living Communities</t>
  </si>
  <si>
    <t xml:space="preserve">Orland Park, IL</t>
  </si>
  <si>
    <t xml:space="preserve">10 Villas (1506 – 1809 sq ft)</t>
  </si>
  <si>
    <t xml:space="preserve">Campus amenities (fitness center w/ exercise physiologist; movie theater; etc.)</t>
  </si>
  <si>
    <t xml:space="preserve">(via campus amenities) Campus amenities (fitness center w/ exercise physiologist; movie theater; etc.)</t>
  </si>
  <si>
    <t xml:space="preserve">Attached two-car garage; In-unit washer/dryer; Enclosed porch or screened patio</t>
  </si>
  <si>
    <t xml:space="preserve">2004</t>
  </si>
  <si>
    <t xml:space="preserve">Briar Creek Independent Senior Living Community</t>
  </si>
  <si>
    <t xml:space="preserve">Warmus Senior Living</t>
  </si>
  <si>
    <t xml:space="preserve">Uniontown, OH</t>
  </si>
  <si>
    <t xml:space="preserve">Villa &amp; IL</t>
  </si>
  <si>
    <t xml:space="preserve">36 Villas</t>
  </si>
  <si>
    <t xml:space="preserve">Campus amenities (gym, movie theater, coffee bar, etc.)</t>
  </si>
  <si>
    <t xml:space="preserve">Housekeeping</t>
  </si>
  <si>
    <t xml:space="preserve">(via campus amenities) Campus amenities (gym, movie theater, coffee bar, etc.)</t>
  </si>
  <si>
    <t xml:space="preserve">Maintenance</t>
  </si>
  <si>
    <t xml:space="preserve">Lancaster-Jackson Twp OH Danbury New Devs (Jackson)</t>
  </si>
  <si>
    <t xml:space="preserve">2017</t>
  </si>
  <si>
    <t xml:space="preserve">Primrose Retirement Community of Lancaster</t>
  </si>
  <si>
    <t xml:space="preserve">Primrose Retirement Communities</t>
  </si>
  <si>
    <t xml:space="preserve">Lancaster, OH</t>
  </si>
  <si>
    <t xml:space="preserve">Villa, IL, AL &amp; MC</t>
  </si>
  <si>
    <t xml:space="preserve">10 Villas (1594 sq ft)</t>
  </si>
  <si>
    <t xml:space="preserve">Campus amenities (chapel, wellness center, ice cream parlor)</t>
  </si>
  <si>
    <t xml:space="preserve">Daily meal</t>
  </si>
  <si>
    <t xml:space="preserve">(via campus amenities) Campus amenities (chapel, wellness center, ice cream parlor)</t>
  </si>
  <si>
    <t xml:space="preserve">Emergency call system; Emergency call system</t>
  </si>
  <si>
    <t xml:space="preserve">All utilities including cable and internet</t>
  </si>
  <si>
    <t xml:space="preserve">Attached garage; In-unit washer/dryer</t>
  </si>
  <si>
    <t xml:space="preserve">Lancaster-Jackson Twp OH Danbury New Devs (Lancaster)</t>
  </si>
  <si>
    <t xml:space="preserve">2007</t>
  </si>
  <si>
    <t xml:space="preserve">Concordia Village</t>
  </si>
  <si>
    <t xml:space="preserve">Lutheran Senior Services</t>
  </si>
  <si>
    <t xml:space="preserve">Springfield, IL</t>
  </si>
  <si>
    <t xml:space="preserve">23 Villas (1895 sq ft)</t>
  </si>
  <si>
    <t xml:space="preserve">Transportation services</t>
  </si>
  <si>
    <t xml:space="preserve">Campus amenities (Chapel w/ chaplain; art studio; village market; fitness center w/ indoor pool; movie theater)</t>
  </si>
  <si>
    <t xml:space="preserve">Scheduled housekeeping services</t>
  </si>
  <si>
    <t xml:space="preserve">(via campus amenities) Campus amenities (Chapel w/ chaplain; art studio; village market; fitness center w/ indoor pool; movie theater)</t>
  </si>
  <si>
    <t xml:space="preserve">“Many utility costs included”</t>
  </si>
  <si>
    <t xml:space="preserve">3 Bed/2 Bath; In-unit washer/dryer; Optional patio; Attached two-car garage</t>
  </si>
  <si>
    <t xml:space="preserve">Illinois Holiday Acquisitions (Springfield)</t>
  </si>
  <si>
    <t xml:space="preserve">1995</t>
  </si>
  <si>
    <t xml:space="preserve">Lewis Memorial Christian Village</t>
  </si>
  <si>
    <t xml:space="preserve">Christian Horizons</t>
  </si>
  <si>
    <t xml:space="preserve">20 villas</t>
  </si>
  <si>
    <t xml:space="preserve">Campus amenities (bistro; chapel w/ pastor; fitness center w/ pool)</t>
  </si>
  <si>
    <t xml:space="preserve">(via campus amenities) Campus amenities (bistro; chapel w/ pastor; fitness center w/ pool)</t>
  </si>
  <si>
    <t xml:space="preserve">Emergency response system</t>
  </si>
  <si>
    <t xml:space="preserve">“Paid basic cable, sewer, water and trash”</t>
  </si>
  <si>
    <t xml:space="preserve">“One- to two-bed, and up to two-bath townhomes”; In-unit washer/dryer; Attached garages; Private patios</t>
  </si>
  <si>
    <t xml:space="preserve">Good Samaritan Home of Quincy</t>
  </si>
  <si>
    <t xml:space="preserve">Good Samaritan Home</t>
  </si>
  <si>
    <t xml:space="preserve">Quincy, IL</t>
  </si>
  <si>
    <t xml:space="preserve">180 villas</t>
  </si>
  <si>
    <t xml:space="preserve">Campus Amenities (gym w/ pool; chapel; buffet-style meals for add. Fee; general store)</t>
  </si>
  <si>
    <t xml:space="preserve">(via campus amenities) Campus Amenities (gym w/ pool; chapel; buffet-style meals for add. Fee; general store)</t>
  </si>
  <si>
    <t xml:space="preserve">All utilities except phone, internet, cable, and garbage stickers</t>
  </si>
  <si>
    <t xml:space="preserve">One and two bedroom cottages</t>
  </si>
  <si>
    <t xml:space="preserve">Illinois Holiday Acquisitions (Quincy)</t>
  </si>
  <si>
    <t xml:space="preserve">1957</t>
  </si>
  <si>
    <t xml:space="preserve">Available (extra cost)</t>
  </si>
  <si>
    <t xml:space="preserve">Provision Living at East Lansing</t>
  </si>
  <si>
    <t xml:space="preserve">Provision Senior Living Communities</t>
  </si>
  <si>
    <t xml:space="preserve">East Lansing, MI</t>
  </si>
  <si>
    <t xml:space="preserve">Villa, AL &amp; MC</t>
  </si>
  <si>
    <t xml:space="preserve">22 villas</t>
  </si>
  <si>
    <t xml:space="preserve">Housekeeping and maintenance services</t>
  </si>
  <si>
    <t xml:space="preserve">Concierge services</t>
  </si>
  <si>
    <t xml:space="preserve">2 Bed/2 Bath</t>
  </si>
  <si>
    <t xml:space="preserve">Michigan Holiday Acquisitions (Lansing)</t>
  </si>
  <si>
    <t xml:space="preserve">2022</t>
  </si>
  <si>
    <t xml:space="preserve">American House Village of Rochester Hills</t>
  </si>
  <si>
    <t xml:space="preserve">American House Senior Living</t>
  </si>
  <si>
    <t xml:space="preserve">Rochester Hills, MI</t>
  </si>
  <si>
    <t xml:space="preserve">rental-only continuum</t>
  </si>
  <si>
    <t xml:space="preserve">12 villas (1020 – 1280 sq ft)</t>
  </si>
  <si>
    <t xml:space="preserve">Campus amenities (ice cream parlor; library; fitness center)</t>
  </si>
  <si>
    <t xml:space="preserve">Housekeeping and laundry services</t>
  </si>
  <si>
    <t xml:space="preserve">(via campus amenities) Campus amenities (ice cream parlor; library; fitness center)</t>
  </si>
  <si>
    <t xml:space="preserve">2-3 Bed/2 Bath; In-unit washer/dryer</t>
  </si>
  <si>
    <t xml:space="preserve">Michigan Holiday Acquisitions (Waterford/Metro Detroit)</t>
  </si>
  <si>
    <t xml:space="preserve">The Villas at Westlake</t>
  </si>
  <si>
    <t xml:space="preserve">Trilogy Health Services</t>
  </si>
  <si>
    <t xml:space="preserve">Commerce Charter Twp, MI</t>
  </si>
  <si>
    <t xml:space="preserve">Villa, AL, MC &amp; SNF</t>
  </si>
  <si>
    <t xml:space="preserve">34 villas</t>
  </si>
  <si>
    <t xml:space="preserve">2 Bed/2 Bath: $3624</t>
  </si>
  <si>
    <t xml:space="preserve">Cable included; Electric, heat, and water included</t>
  </si>
  <si>
    <t xml:space="preserve">Attached garage; Private patio; Washer/dryer hookups</t>
  </si>
  <si>
    <t xml:space="preserve">2011</t>
  </si>
  <si>
    <t xml:space="preserve">Vitalia Senior Residences at Strongsville</t>
  </si>
  <si>
    <t xml:space="preserve">Arrow Senior Living</t>
  </si>
  <si>
    <t xml:space="preserve">Strongsville, OH</t>
  </si>
  <si>
    <t xml:space="preserve">71 Villas (1191 – 1383 sq ft)</t>
  </si>
  <si>
    <t xml:space="preserve">Campus amenities (wellness center; library; demonstration kitchen)</t>
  </si>
  <si>
    <t xml:space="preserve">(via campus amenities) Campus amenities (wellness center; library; demonstration kitchen)</t>
  </si>
  <si>
    <t xml:space="preserve">Attached garage; 2-3 Bed/ 2 Bath</t>
  </si>
  <si>
    <t xml:space="preserve">Confirm additional amenities/that it’s on par with our proposed villa product</t>
  </si>
  <si>
    <t xml:space="preserve">Ohio Holiday Acquisitions (Strongsville/Cleveland)</t>
  </si>
  <si>
    <t xml:space="preserve">2024?</t>
  </si>
  <si>
    <t xml:space="preserve">Samaritas Senior Living of Grand Rapids</t>
  </si>
  <si>
    <t xml:space="preserve">Samaritas Senior Living</t>
  </si>
  <si>
    <t xml:space="preserve">Grand Rapids, MI</t>
  </si>
  <si>
    <t xml:space="preserve">25 Villas</t>
  </si>
  <si>
    <t xml:space="preserve">1 Bedroom: $3125 | 2 Bedroom: $3645 | Stand Alone: $4045</t>
  </si>
  <si>
    <t xml:space="preserve">Michigan Holiday Acquisitions (Wyoming/Grand Rapids)</t>
  </si>
  <si>
    <t xml:space="preserve">1978</t>
  </si>
  <si>
    <t xml:space="preserve">Legacies Village</t>
  </si>
  <si>
    <t xml:space="preserve">WRG Senior Living/Legacies</t>
  </si>
  <si>
    <t xml:space="preserve">Caledonia, MI</t>
  </si>
  <si>
    <t xml:space="preserve">IL</t>
  </si>
  <si>
    <t xml:space="preserve">20 Villas (1200 sq ft)</t>
  </si>
  <si>
    <t xml:space="preserve">Daily continental breakfast in community center</t>
  </si>
  <si>
    <t xml:space="preserve">Utilities, including Cable &amp; Internet</t>
  </si>
  <si>
    <t xml:space="preserve">1 Bed / 1.5 Bath; In-unit washer/dryer; Attached 1-car garage; Private patio</t>
  </si>
  <si>
    <t xml:space="preserve">Holiday Aurora Pond</t>
  </si>
  <si>
    <t xml:space="preserve">Holiday Senior Living/Atria</t>
  </si>
  <si>
    <t xml:space="preserve">Wyoming, MI</t>
  </si>
  <si>
    <t xml:space="preserve">18 villas (1252 – 1474 sq ft)</t>
  </si>
  <si>
    <t xml:space="preserve">$4149 starting rate</t>
  </si>
  <si>
    <t xml:space="preserve">Campus amenities (billiards; fitness room; chapel)</t>
  </si>
  <si>
    <t xml:space="preserve">(via campus amenities) Campus amenities (billiards; fitness room; chapel)</t>
  </si>
  <si>
    <t xml:space="preserve">Cable included</t>
  </si>
  <si>
    <t xml:space="preserve">In-unit washer/dryer; Patio; Some w/ attached garage</t>
  </si>
  <si>
    <t xml:space="preserve">Holland Home Raybrook Campus</t>
  </si>
  <si>
    <t xml:space="preserve">Holland Home</t>
  </si>
  <si>
    <t xml:space="preserve">42 Villas</t>
  </si>
  <si>
    <t xml:space="preserve">Campus Amenities (billiards; wellness center; pool; library)</t>
  </si>
  <si>
    <t xml:space="preserve">Daily meal delivery available</t>
  </si>
  <si>
    <t xml:space="preserve">(via campus amenities) Campus Amenities (billiards; wellness center; pool; library)</t>
  </si>
  <si>
    <t xml:space="preserve">2 Bed/2 Bath; In-unit washer/dryer; Attached garage; Patio</t>
  </si>
  <si>
    <t xml:space="preserve">1998 (Raybrook Homes opens); facility first established 1983</t>
  </si>
  <si>
    <t xml:space="preserve">Breton Woods of Holland Homes</t>
  </si>
  <si>
    <t xml:space="preserve">126 Villas</t>
  </si>
  <si>
    <t xml:space="preserve">Campus Amenities (wellness center; pool; gym; art studio; woodshop; chapel; billiards)</t>
  </si>
  <si>
    <t xml:space="preserve">(via campus amenities) Campus Amenities (wellness center; pool; gym; art studio; woodshop; chapel; billiards)</t>
  </si>
  <si>
    <t xml:space="preserve">Attached garage; In-unit washer/dryer; 2-3 Bedroom / 2-3 Bath</t>
  </si>
  <si>
    <t xml:space="preserve">Waterford Place</t>
  </si>
  <si>
    <t xml:space="preserve">Sunset Senior Communities</t>
  </si>
  <si>
    <t xml:space="preserve">Jenison, MI</t>
  </si>
  <si>
    <t xml:space="preserve">20 Villas (767 – 1225 sq ft)</t>
  </si>
  <si>
    <t xml:space="preserve">Campus amenities (fitness/aquatics center; health clinic; library; woodshop; bistro)</t>
  </si>
  <si>
    <t xml:space="preserve">(via campus amenities) Campus amenities (fitness/aquatics center; health clinic; library; woodshop; bistro)</t>
  </si>
  <si>
    <t xml:space="preserve">In-unit washer/dryer; Attached two-car garage; Porch</t>
  </si>
  <si>
    <t xml:space="preserve">2023?</t>
  </si>
  <si>
    <t xml:space="preserve">Holiday Wescourt</t>
  </si>
  <si>
    <t xml:space="preserve">Saginaw, MI</t>
  </si>
  <si>
    <t xml:space="preserve">8 villas (1298 sq ft)</t>
  </si>
  <si>
    <t xml:space="preserve">$5219 starting rate</t>
  </si>
  <si>
    <t xml:space="preserve">Patio</t>
  </si>
  <si>
    <t xml:space="preserve">Vitalia North Royalton</t>
  </si>
  <si>
    <t xml:space="preserve">North Royalton, OH</t>
  </si>
  <si>
    <t xml:space="preserve">16 villas</t>
  </si>
  <si>
    <t xml:space="preserve">Western Reserve Masonic Community</t>
  </si>
  <si>
    <t xml:space="preserve">Ohio Masonic Communities</t>
  </si>
  <si>
    <t xml:space="preserve">Medina, OH</t>
  </si>
  <si>
    <t xml:space="preserve">19 villas (1100 – 1699 sq ft)</t>
  </si>
  <si>
    <t xml:space="preserve">Campus amenities (wood shop; computer lab; wellness center)</t>
  </si>
  <si>
    <t xml:space="preserve">3 meals provided daily</t>
  </si>
  <si>
    <t xml:space="preserve">(via campus amenities) Campus amenities (wood shop; computer lab; wellness center)</t>
  </si>
  <si>
    <t xml:space="preserve">Water and sewer included; Wi-Fi and basic cable included</t>
  </si>
  <si>
    <t xml:space="preserve">1998</t>
  </si>
  <si>
    <t xml:space="preserve">Provision Living at West Clermont</t>
  </si>
  <si>
    <t xml:space="preserve">Provision Living Senior Communities</t>
  </si>
  <si>
    <t xml:space="preserve">Batavia, OH</t>
  </si>
  <si>
    <t xml:space="preserve">15 villa</t>
  </si>
  <si>
    <t xml:space="preserve">Concierge</t>
  </si>
  <si>
    <t xml:space="preserve">Ohio Holiday Acquisitions (Cincinnati)</t>
  </si>
  <si>
    <t xml:space="preserve">2021</t>
  </si>
  <si>
    <t xml:space="preserve">Solarbron</t>
  </si>
  <si>
    <t xml:space="preserve">CarDon &amp; Associates</t>
  </si>
  <si>
    <t xml:space="preserve">Evansville, IN</t>
  </si>
  <si>
    <t xml:space="preserve">9 villa</t>
  </si>
  <si>
    <t xml:space="preserve">Campus amenities (shuffleboard courts; billiards/games room; fitness center; business center; private fishing lake; vegetable/flower gardens)</t>
  </si>
  <si>
    <t xml:space="preserve">(via campus amenities) Campus amenities (shuffleboard courts; billiards/games room; fitness center; business center; private fishing lake; vegetable/flower gardens)</t>
  </si>
  <si>
    <t xml:space="preserve">Emergency alert system</t>
  </si>
  <si>
    <t xml:space="preserve">Basic cable, water, sewer, and trash removal</t>
  </si>
  <si>
    <t xml:space="preserve">2-3 Bed/2 Bath; Attached double garage; Laundry room with washer/dryer hookups</t>
  </si>
  <si>
    <t xml:space="preserve">Indiana Holiday Acquisitions (Evansville)</t>
  </si>
  <si>
    <t xml:space="preserve">The Village at Hamilton Pointe</t>
  </si>
  <si>
    <t xml:space="preserve">TLC Management</t>
  </si>
  <si>
    <t xml:space="preserve">Newburgh, IN</t>
  </si>
  <si>
    <t xml:space="preserve">24 villas</t>
  </si>
  <si>
    <t xml:space="preserve">Gardens; Campus amenities (movie theater; salon/spa; therapy gym)</t>
  </si>
  <si>
    <t xml:space="preserve">“Deliciously prepared chef inspired meals” (doesn’t specify which or how many daily)</t>
  </si>
  <si>
    <t xml:space="preserve">(via campus amenities) Campus amenities (movie theater; salon/spa; therapy gym)</t>
  </si>
  <si>
    <t xml:space="preserve">Paid utilities</t>
  </si>
  <si>
    <t xml:space="preserve">One- and two-bedroom cottages – 1 bath; Washers/dryers (two-bedroom layouts only); Porches</t>
  </si>
  <si>
    <t xml:space="preserve">2013</t>
  </si>
  <si>
    <t xml:space="preserve">Athens Crossing at Four Seasons</t>
  </si>
  <si>
    <t xml:space="preserve">BHI Senior Living</t>
  </si>
  <si>
    <t xml:space="preserve">Columbus, IN</t>
  </si>
  <si>
    <t xml:space="preserve">12 villas (1850 – 2400 sq ft)</t>
  </si>
  <si>
    <t xml:space="preserve">Campus amenities (indoor pool; fitness center; dog park; rehab center)</t>
  </si>
  <si>
    <t xml:space="preserve">(via campus amenities) Campus amenities (indoor pool; fitness center; dog park; rehab center)</t>
  </si>
  <si>
    <t xml:space="preserve">Utilities included (excluding cable, phone, and internet)</t>
  </si>
  <si>
    <t xml:space="preserve">2 Bed/2 Bath; In-unit washer/dryer; Fireplace; Patio or covered porch; Island kitchen counter; Attached two-car garage</t>
  </si>
  <si>
    <t xml:space="preserve">Indiana Holiday Acquisitions (Columbus/Indianapolis)</t>
  </si>
  <si>
    <t xml:space="preserve">Traditions of Columbus</t>
  </si>
  <si>
    <t xml:space="preserve">Traditions Management</t>
  </si>
  <si>
    <t xml:space="preserve">30 villas (1481 – 1530 sq ft)</t>
  </si>
  <si>
    <t xml:space="preserve">Campus amenities (pub; chapel; movie theater; fitness center; salon)</t>
  </si>
  <si>
    <t xml:space="preserve">(via campus amenities) Campus amenities (pub; chapel; movie theater; fitness center; salon)</t>
  </si>
  <si>
    <t xml:space="preserve">Gated security; Emergency response system</t>
  </si>
  <si>
    <t xml:space="preserve">All utilities, including cable &amp; internet</t>
  </si>
  <si>
    <t xml:space="preserve">2 Bed/2 Bath; Attached single-car garage; In-unit washer/dryer; Covered porch/patio</t>
  </si>
  <si>
    <t xml:space="preserve">The Heritage at Brentwood</t>
  </si>
  <si>
    <t xml:space="preserve">Life Care Services LLC</t>
  </si>
  <si>
    <t xml:space="preserve">Brentwood, TN</t>
  </si>
  <si>
    <t xml:space="preserve">65 villas (1803 – 2171 sq ft)</t>
  </si>
  <si>
    <t xml:space="preserve">Campus amenities (multiple dining venues; putting green; bocce court; woodworking shop; art studio; greenhouse/gardening area; market; medical clinic; bank services)</t>
  </si>
  <si>
    <t xml:space="preserve">(via campus amenities) Campus amenities (multiple dining venues; putting green; bocce court; woodworking shop; art studio; greenhouse/gardening area; market; medical clinic; bank services)</t>
  </si>
  <si>
    <t xml:space="preserve">Cable TV and Wi-Fi</t>
  </si>
  <si>
    <t xml:space="preserve">2-3 Bed/2-3 Bath; Attached garage; In-unit washer/dryer</t>
  </si>
  <si>
    <t xml:space="preserve">Tennessee Holiday Acquisitions (Franklin)</t>
  </si>
  <si>
    <t xml:space="preserve">2009</t>
  </si>
  <si>
    <t xml:space="preserve">Holiday Mallard Point</t>
  </si>
  <si>
    <t xml:space="preserve">Holiday/Atria</t>
  </si>
  <si>
    <t xml:space="preserve">Cedar Falls, IA</t>
  </si>
  <si>
    <t xml:space="preserve">8 villas (743 sq ft)</t>
  </si>
  <si>
    <t xml:space="preserve">$3239</t>
  </si>
  <si>
    <t xml:space="preserve">Campus amenities (billiards; fitness room; salon)</t>
  </si>
  <si>
    <t xml:space="preserve">(via campus amenities) Campus amenities (billiards; fitness room; salon)</t>
  </si>
  <si>
    <t xml:space="preserve">Iowa Holiday Acquisitions (Cedar Falls)</t>
  </si>
  <si>
    <t xml:space="preserve">Windcrest</t>
  </si>
  <si>
    <t xml:space="preserve">Western Home Communities</t>
  </si>
  <si>
    <t xml:space="preserve">174 villas (1150 – 1450 sq ft)</t>
  </si>
  <si>
    <t xml:space="preserve">Campus amenities (pub; salon; wellness/aquatic center; chapel; therapy; market; fine dining)</t>
  </si>
  <si>
    <t xml:space="preserve">(via campus amenities) Campus amenities (pub; salon; wellness/aquatic center; chapel; therapy; market; fine dining)</t>
  </si>
  <si>
    <t xml:space="preserve">Lawn Care and Mowing; Snow Removal; Service requests</t>
  </si>
  <si>
    <t xml:space="preserve">2000</t>
  </si>
  <si>
    <t xml:space="preserve">Friendship Village</t>
  </si>
  <si>
    <t xml:space="preserve">Waterloo, IA</t>
  </si>
  <si>
    <t xml:space="preserve">8 villas</t>
  </si>
  <si>
    <t xml:space="preserve">Campus amenities (chapel w/ chaplain; billiards; woodshop; media center; library; bistro)</t>
  </si>
  <si>
    <t xml:space="preserve">Included meals</t>
  </si>
  <si>
    <t xml:space="preserve">Housekeeping services</t>
  </si>
  <si>
    <t xml:space="preserve">Attached two-car garage</t>
  </si>
  <si>
    <t xml:space="preserve">Landmark Commons</t>
  </si>
  <si>
    <t xml:space="preserve">15 villas</t>
  </si>
  <si>
    <t xml:space="preserve">Campus amenities (bistro; craft room; woodshop; billiards; wellness center w/ pool)</t>
  </si>
  <si>
    <t xml:space="preserve">Continental breakfast</t>
  </si>
  <si>
    <t xml:space="preserve">Weekly housekeeping</t>
  </si>
  <si>
    <t xml:space="preserve">(via campus amenities) Campus amenities (bistro; craft room; woodshop; billiards; wellness center w/ pool)</t>
  </si>
  <si>
    <t xml:space="preserve">Utilities, including Cable, Internet &amp; Phone</t>
  </si>
  <si>
    <t xml:space="preserve">NewAldaya Lifescapes</t>
  </si>
  <si>
    <t xml:space="preserve">NewAldaya</t>
  </si>
  <si>
    <t xml:space="preserve">14 villas (Park Ridge Ranches; 650 – 1300 sq ft)</t>
  </si>
  <si>
    <t xml:space="preserve">Campus amenities (general store; spa; pub; wellness center; chapel; café)</t>
  </si>
  <si>
    <t xml:space="preserve">(via campus amenities) Campus amenities (general store; spa; pub; wellness center; chapel; café)</t>
  </si>
  <si>
    <t xml:space="preserve">In-unit washer/dryer; Some w/ attached garages; Private patio</t>
  </si>
  <si>
    <t xml:space="preserve">Brio of Johnston</t>
  </si>
  <si>
    <t xml:space="preserve">Wesley Life, Inc.</t>
  </si>
  <si>
    <t xml:space="preserve">Johnston, IA</t>
  </si>
  <si>
    <t xml:space="preserve">19 villas</t>
  </si>
  <si>
    <t xml:space="preserve">Campus amenities:; Library; Salon; Chapel; General Store; Onsite banking; Bistro</t>
  </si>
  <si>
    <t xml:space="preserve">Wellness/fitness center</t>
  </si>
  <si>
    <t xml:space="preserve">Iowa Holiday Acquisitions (Des Moines)</t>
  </si>
  <si>
    <t xml:space="preserve">2018</t>
  </si>
  <si>
    <t xml:space="preserve">Deerfield Retirement Community</t>
  </si>
  <si>
    <t xml:space="preserve">Immanuel Communities</t>
  </si>
  <si>
    <t xml:space="preserve">Urbandale, IA</t>
  </si>
  <si>
    <t xml:space="preserve">18 villas (1920+ sq ft)</t>
  </si>
  <si>
    <t xml:space="preserve">Campus amenities (bistro; convenience store; woodworking shop; game room; fishing dock/pond; cocktail lounge; access to walking/biking trails)</t>
  </si>
  <si>
    <t xml:space="preserve">Paid utilities, including cable</t>
  </si>
  <si>
    <t xml:space="preserve">Attached two-car garage; Private patio</t>
  </si>
  <si>
    <t xml:space="preserve">2005</t>
  </si>
  <si>
    <t xml:space="preserve">Valley View Village</t>
  </si>
  <si>
    <t xml:space="preserve">Cassia – An Augustana/Elim Affiliation</t>
  </si>
  <si>
    <t xml:space="preserve">Des Moines, IA</t>
  </si>
  <si>
    <t xml:space="preserve">36 villas (600 – 1200 sq ft)</t>
  </si>
  <si>
    <t xml:space="preserve">$300 extra for units w/ a washer/dryer | $804 for a one-bedroom cottage apartment | $1282 – 1823 for a two-bedroom apartment</t>
  </si>
  <si>
    <t xml:space="preserve">Community amenities (café; salon; library; rehab)</t>
  </si>
  <si>
    <t xml:space="preserve">(via campus amenities) Community amenities (café; salon; library; rehab)</t>
  </si>
  <si>
    <t xml:space="preserve">All utilities/taxes included except phone and cable</t>
  </si>
  <si>
    <t xml:space="preserve">Many w/ in-unit washer/dryer; Reserved parking space</t>
  </si>
  <si>
    <t xml:space="preserve">1962</t>
  </si>
  <si>
    <t xml:space="preserve">Attic Angel Community</t>
  </si>
  <si>
    <t xml:space="preserve">Middleton, WI</t>
  </si>
  <si>
    <t xml:space="preserve">123 villas (1375 – 2300 sq ft)</t>
  </si>
  <si>
    <t xml:space="preserve">Community amenities (fitness room; art studio; library; computer lab; café)</t>
  </si>
  <si>
    <t xml:space="preserve">Meal plans/housekeeping/laundry extra</t>
  </si>
  <si>
    <t xml:space="preserve">(via campus amenities) Community amenities (fitness room; art studio; library; computer lab; café)</t>
  </si>
  <si>
    <t xml:space="preserve">Optional daily check-in service</t>
  </si>
  <si>
    <t xml:space="preserve">Exterior/interior maintenance</t>
  </si>
  <si>
    <t xml:space="preserve">Utilities/cable/internet/municipal fees extra</t>
  </si>
  <si>
    <t xml:space="preserve">Attached 1- and 2-car garage</t>
  </si>
  <si>
    <t xml:space="preserve">Madison, WI – October 2022</t>
  </si>
  <si>
    <t xml:space="preserve">Waunakee Valley Senior Living</t>
  </si>
  <si>
    <t xml:space="preserve">Trilogy Health Services, LLC</t>
  </si>
  <si>
    <t xml:space="preserve">Waunakee, WI</t>
  </si>
  <si>
    <t xml:space="preserve">$3025 for a one bedroom villa</t>
  </si>
  <si>
    <t xml:space="preserve">Campus amenities (fitness center; café; salon)</t>
  </si>
  <si>
    <t xml:space="preserve">Bi-monthly “interior cleaning services”</t>
  </si>
  <si>
    <t xml:space="preserve">(via campus amenities) Campus amenities (fitness center; café; salon)</t>
  </si>
  <si>
    <t xml:space="preserve">24 hour emergency maintenance</t>
  </si>
  <si>
    <t xml:space="preserve">Attached garage; Private patio; Washer and dryer</t>
  </si>
  <si>
    <t xml:space="preserve">Laurel Lake</t>
  </si>
  <si>
    <t xml:space="preserve">Laurel Lake Retirement Community</t>
  </si>
  <si>
    <t xml:space="preserve">Hudson, OH</t>
  </si>
  <si>
    <t xml:space="preserve">66 villas (1500 – 2025 sq ft)</t>
  </si>
  <si>
    <t xml:space="preserve">Campus amenities (pub; grille; convenience/gift shop; library/DVD center; chapels; greenhouse; woodworking/hobby shop; indoor pool &amp; therapy spa; wellness center); Nature Trails; Stocked fishing lakes; Par 3 golf course; Community garden</t>
  </si>
  <si>
    <t xml:space="preserve">Bi-weekly housekeeping; weekly linen service</t>
  </si>
  <si>
    <t xml:space="preserve">(via campus amenities) Campus amenities (pub; grille; convenience/gift shop; library/DVD center; chapels; greenhouse; woodworking/hobby shop; indoor pool &amp; therapy spa; wellness center)</t>
  </si>
  <si>
    <t xml:space="preserve">Wireless emergency call system</t>
  </si>
  <si>
    <t xml:space="preserve">All utilities included except phone; Basic cable</t>
  </si>
  <si>
    <t xml:space="preserve">Attached 1- and 2-car garage; In-unit washer/dryer; Private patio</t>
  </si>
  <si>
    <t xml:space="preserve">American House Macedonia (Cleveland)</t>
  </si>
  <si>
    <t xml:space="preserve">Jennings at Notre Dame Village</t>
  </si>
  <si>
    <t xml:space="preserve">Jennings/Sisters of Notre Dame</t>
  </si>
  <si>
    <t xml:space="preserve">Chardon, OH</t>
  </si>
  <si>
    <t xml:space="preserve">40 villas (2100 sq ft)</t>
  </si>
  <si>
    <t xml:space="preserve">Below-listed rates are “effective July 1, 2022” . | $2950</t>
  </si>
  <si>
    <t xml:space="preserve">Campus amenities (therapy/rehab; fitness studio; etc.)</t>
  </si>
  <si>
    <t xml:space="preserve">(via campus amenities) Campus amenities (therapy/rehab; fitness studio; etc.)</t>
  </si>
  <si>
    <t xml:space="preserve">Water and sewer</t>
  </si>
  <si>
    <t xml:space="preserve">Attached 2 ½ car garage; In-unit washer/drier in laundry room; Private porch</t>
  </si>
  <si>
    <t xml:space="preserve">Cleveland – Shaker Heights</t>
  </si>
  <si>
    <t xml:space="preserve">Vitalia at Stow</t>
  </si>
  <si>
    <t xml:space="preserve">Stow, OH</t>
  </si>
  <si>
    <t xml:space="preserve">6 villas</t>
  </si>
  <si>
    <t xml:space="preserve">Campus amenities (wellness center; library; demonstration kitchen; indoor pool; bistro; movie theater; billiards)</t>
  </si>
  <si>
    <t xml:space="preserve">(via campus amenities) Campus amenities (wellness center; library; demonstration kitchen; indoor pool; bistro; movie theater; billiards)</t>
  </si>
  <si>
    <t xml:space="preserve">Hudson/SE Cleveland – Fall 2021</t>
  </si>
  <si>
    <t xml:space="preserve">2019</t>
  </si>
  <si>
    <t xml:space="preserve">Vitalia at Montrose</t>
  </si>
  <si>
    <t xml:space="preserve">Copley, OH</t>
  </si>
  <si>
    <t xml:space="preserve">Echelon of Medina, OH (SE Cleveland)</t>
  </si>
  <si>
    <t xml:space="preserve">Opened 2020</t>
  </si>
  <si>
    <t xml:space="preserve">Kirkland Crossings</t>
  </si>
  <si>
    <t xml:space="preserve">Presbyterian Homes &amp; Services</t>
  </si>
  <si>
    <t xml:space="preserve">Pewaukee, WI</t>
  </si>
  <si>
    <t xml:space="preserve">22 villas (1-57 – 1667 sq ft)</t>
  </si>
  <si>
    <t xml:space="preserve">Cable; Telephone service; Property tax and building insurance</t>
  </si>
  <si>
    <t xml:space="preserve">Milwaukee 2022 Market Shops (Pewaukee)</t>
  </si>
  <si>
    <t xml:space="preserve">Opened 2001</t>
  </si>
  <si>
    <t xml:space="preserve">The Waters of Pewaukee</t>
  </si>
  <si>
    <t xml:space="preserve">The Waters Senior Living Management, LLC</t>
  </si>
  <si>
    <t xml:space="preserve">Waukesha, WI</t>
  </si>
  <si>
    <t xml:space="preserve">30 villas</t>
  </si>
  <si>
    <t xml:space="preserve">Three Pillars Senior Living</t>
  </si>
  <si>
    <t xml:space="preserve">Three Pillars Senior Living Communities</t>
  </si>
  <si>
    <t xml:space="preserve">Dousman, WI</t>
  </si>
  <si>
    <t xml:space="preserve">61 villas (1058 – 1375 sq ft)</t>
  </si>
  <si>
    <t xml:space="preserve">Entry Fee: $284,000 - $695,000</t>
  </si>
  <si>
    <t xml:space="preserve">Interior/exterior maintenance/groundskeeping</t>
  </si>
  <si>
    <t xml:space="preserve">Property taxes, water, and sewer</t>
  </si>
  <si>
    <t xml:space="preserve">Private porch/patio; Washer/dryer w/ laundry room</t>
  </si>
  <si>
    <t xml:space="preserve">Milwaukee 2022 Market Shops (Delafield)</t>
  </si>
  <si>
    <t xml:space="preserve">Opened 1991</t>
  </si>
  <si>
    <t xml:space="preserve">Traditions at North Willow</t>
  </si>
  <si>
    <t xml:space="preserve">Traditions</t>
  </si>
  <si>
    <t xml:space="preserve">Indianapolis, IN</t>
  </si>
  <si>
    <t xml:space="preserve">50 villas (850 – 1300 sq ft)</t>
  </si>
  <si>
    <t xml:space="preserve">Clubhouse with fitness center; Enclosed dog park</t>
  </si>
  <si>
    <t xml:space="preserve">(via campus amenities) Clubhouse with fitness center</t>
  </si>
  <si>
    <t xml:space="preserve">Gated security; Emergency call system</t>
  </si>
  <si>
    <t xml:space="preserve">All utilities</t>
  </si>
  <si>
    <t xml:space="preserve">Attached single-car garage; In-unit washer/dryer</t>
  </si>
  <si>
    <t xml:space="preserve">Indianapolis – Anthology Meridian Hills Acquisition</t>
  </si>
  <si>
    <t xml:space="preserve">Traditions at Solana</t>
  </si>
  <si>
    <t xml:space="preserve">24 villas (1134 – 1818 sq ft)</t>
  </si>
  <si>
    <t xml:space="preserve">30 meals/month</t>
  </si>
  <si>
    <t xml:space="preserve">Interior/exterior maintenance/housekeeping</t>
  </si>
  <si>
    <t xml:space="preserve">Attached one-car garage; In-unit washer/dryer</t>
  </si>
  <si>
    <t xml:space="preserve">2016</t>
  </si>
  <si>
    <t xml:space="preserve">Marquette</t>
  </si>
  <si>
    <t xml:space="preserve">Entry Fee CCRC</t>
  </si>
  <si>
    <t xml:space="preserve">36 villas</t>
  </si>
  <si>
    <t xml:space="preserve">“Maintenance-free living”</t>
  </si>
  <si>
    <t xml:space="preserve">Internet and all utilities</t>
  </si>
  <si>
    <t xml:space="preserve">Attached one- or two-car garage; In-unit washer/dryer</t>
  </si>
  <si>
    <t xml:space="preserve">Indianapolis – Anthology Meridian Acquisition</t>
  </si>
  <si>
    <t xml:space="preserve">1981</t>
  </si>
  <si>
    <t xml:space="preserve">Five Star Residences of Clearwater</t>
  </si>
  <si>
    <t xml:space="preserve">Five Star Senior Living</t>
  </si>
  <si>
    <t xml:space="preserve">Villa &amp; AL</t>
  </si>
  <si>
    <t xml:space="preserve">11 villas</t>
  </si>
  <si>
    <t xml:space="preserve">Three daily meals</t>
  </si>
  <si>
    <t xml:space="preserve">Weekly housekeeping and flat linen service; Interior/exterior maintenance/housekeeping</t>
  </si>
  <si>
    <t xml:space="preserve">24/7 concierge service</t>
  </si>
  <si>
    <t xml:space="preserve">Attached garage</t>
  </si>
  <si>
    <t xml:space="preserve">Indianapolis Anthology Meridian Acquisition</t>
  </si>
  <si>
    <t xml:space="preserve">Opened 1995</t>
  </si>
  <si>
    <t xml:space="preserve">The Stratford</t>
  </si>
  <si>
    <t xml:space="preserve">Weller Life Communities</t>
  </si>
  <si>
    <t xml:space="preserve">Carmel, IN</t>
  </si>
  <si>
    <t xml:space="preserve">40 villas (1132 – 2346 sq ft)</t>
  </si>
  <si>
    <t xml:space="preserve">Cottage Homes start at $3690</t>
  </si>
  <si>
    <t xml:space="preserve">“Daily dining” ($600 monthly towards onsite dining menus)</t>
  </si>
  <si>
    <t xml:space="preserve">Weekly and annual spring cleaning</t>
  </si>
  <si>
    <t xml:space="preserve">“Maintenance-Free Living” and landscaping</t>
  </si>
  <si>
    <t xml:space="preserve">Utilities, property taxes/insurance, and cable</t>
  </si>
  <si>
    <t xml:space="preserve">North Indianapolis, IN (Carmel, IN)</t>
  </si>
  <si>
    <t xml:space="preserve">2008</t>
  </si>
  <si>
    <t xml:space="preserve">Hoosier Village</t>
  </si>
  <si>
    <t xml:space="preserve">212 villas</t>
  </si>
  <si>
    <t xml:space="preserve">Utilities (except electric and phone)</t>
  </si>
  <si>
    <t xml:space="preserve">Attached two-car garage; Full-sized washer/dryer</t>
  </si>
  <si>
    <t xml:space="preserve">1952</t>
  </si>
  <si>
    <t xml:space="preserve">Five Star Senior Residences of Noblesville</t>
  </si>
  <si>
    <t xml:space="preserve">Noblesville, IN</t>
  </si>
  <si>
    <t xml:space="preserve">54 villas</t>
  </si>
  <si>
    <t xml:space="preserve">Starting at $2050</t>
  </si>
  <si>
    <t xml:space="preserve">Interior/exterior maintenance/housekeeping; Weekly housekeeping and flat linen service</t>
  </si>
  <si>
    <t xml:space="preserve">Patio/porch; In-unit washer/dryer</t>
  </si>
  <si>
    <t xml:space="preserve">Zionsville Meadows</t>
  </si>
  <si>
    <t xml:space="preserve">American Senior Communities</t>
  </si>
  <si>
    <t xml:space="preserve">Zionsville, IN</t>
  </si>
  <si>
    <t xml:space="preserve">60 villas</t>
  </si>
  <si>
    <t xml:space="preserve">Garden Homes start at $1727.25</t>
  </si>
  <si>
    <t xml:space="preserve">24 hour emergency response system</t>
  </si>
  <si>
    <t xml:space="preserve">All utilities except telephone and cable</t>
  </si>
  <si>
    <t xml:space="preserve">In-unit washer/dryer; Detached garages available</t>
  </si>
  <si>
    <t xml:space="preserve">1975</t>
  </si>
  <si>
    <t xml:space="preserve">Hamilton Trace</t>
  </si>
  <si>
    <t xml:space="preserve">CarDon and Associates Inc.</t>
  </si>
  <si>
    <t xml:space="preserve">Fishers, IN</t>
  </si>
  <si>
    <t xml:space="preserve">42 villas</t>
  </si>
  <si>
    <t xml:space="preserve">Interior/exterior maintenance/housekeeping; Bi-weekly housekeeping</t>
  </si>
  <si>
    <t xml:space="preserve">Attached garage; Washer/dryer hookups</t>
  </si>
  <si>
    <t xml:space="preserve">2011 (main campus); villas opened 2015</t>
  </si>
  <si>
    <t xml:space="preserve">Traditions at Brookside</t>
  </si>
  <si>
    <t xml:space="preserve">McCordsville, IN</t>
  </si>
  <si>
    <t xml:space="preserve">2017 (main campus); villas opened 2019</t>
  </si>
  <si>
    <t xml:space="preserve">Avon Health and Rehabilitation</t>
  </si>
  <si>
    <t xml:space="preserve">Avon, IN</t>
  </si>
  <si>
    <t xml:space="preserve">Meals</t>
  </si>
  <si>
    <t xml:space="preserve">Weekly Housekeeping and linen services</t>
  </si>
  <si>
    <t xml:space="preserve">Capital Properties Acquisition Project (Prestwick/West Indiana)</t>
  </si>
  <si>
    <t xml:space="preserve">Brownsburg Meadows</t>
  </si>
  <si>
    <t xml:space="preserve">Brownsburg, IN</t>
  </si>
  <si>
    <t xml:space="preserve">23 villas</t>
  </si>
  <si>
    <t xml:space="preserve">Garden Homes start at $2065</t>
  </si>
  <si>
    <t xml:space="preserve">Some w/ attached garages</t>
  </si>
  <si>
    <t xml:space="preserve">2006</t>
  </si>
  <si>
    <t xml:space="preserve">Sugar Grove Senior Living</t>
  </si>
  <si>
    <t xml:space="preserve">Tutera Senior Living &amp; Health Care</t>
  </si>
  <si>
    <t xml:space="preserve">Plainfield, IN</t>
  </si>
  <si>
    <t xml:space="preserve">48 villas (832 – 1363 sq ft)</t>
  </si>
  <si>
    <t xml:space="preserve">All utilities, including basic cable, telephone, and Wi-Fi</t>
  </si>
  <si>
    <t xml:space="preserve">Washer/dryer hookups; Some include attached garage</t>
  </si>
  <si>
    <t xml:space="preserve">2010</t>
  </si>
  <si>
    <t xml:space="preserve">Summit Place West</t>
  </si>
  <si>
    <t xml:space="preserve">Magnolia Management Inc</t>
  </si>
  <si>
    <t xml:space="preserve">35 villas</t>
  </si>
  <si>
    <t xml:space="preserve">None confirmed on website – call for more info</t>
  </si>
  <si>
    <t xml:space="preserve">Traditions at Reagan Park</t>
  </si>
  <si>
    <t xml:space="preserve">44 villas (927 – 1615 sq ft)</t>
  </si>
  <si>
    <t xml:space="preserve">Emergency Pendant</t>
  </si>
  <si>
    <t xml:space="preserve">In-unit washer/dryer; Some w/ attached garages</t>
  </si>
  <si>
    <t xml:space="preserve">2014</t>
  </si>
  <si>
    <t xml:space="preserve">Woodland Terrace of Danville</t>
  </si>
  <si>
    <t xml:space="preserve">New Perspective Senior Living</t>
  </si>
  <si>
    <t xml:space="preserve">Danville, IN</t>
  </si>
  <si>
    <t xml:space="preserve">16 villas (1225 – 1663 sq ft); 14 two-bedroom units, 2 three-bedroom units</t>
  </si>
  <si>
    <t xml:space="preserve">Rent starting at $2730</t>
  </si>
  <si>
    <t xml:space="preserve">Bi-Weekly housekeeping; Interior/exterior maintenance/housekeeping</t>
  </si>
  <si>
    <t xml:space="preserve">Utilities paid; Wi-Fi</t>
  </si>
  <si>
    <t xml:space="preserve">Attached two-car garage; In-unit washer/dryer</t>
  </si>
  <si>
    <t xml:space="preserve">2020 (main building opened 2022)</t>
  </si>
  <si>
    <t xml:space="preserve">Westminster Village North</t>
  </si>
  <si>
    <t xml:space="preserve">Westminster Village North Board of Directors</t>
  </si>
  <si>
    <t xml:space="preserve">41 villas ( 1333 – 1700 sq ft)</t>
  </si>
  <si>
    <t xml:space="preserve">Entry Fees: $165,000 - $200,000+</t>
  </si>
  <si>
    <t xml:space="preserve">Capital Properties Acquisition Project (Windermere/Fishers)</t>
  </si>
  <si>
    <t xml:space="preserve">1972</t>
  </si>
  <si>
    <t xml:space="preserve">Green Oaks Senior Living</t>
  </si>
  <si>
    <t xml:space="preserve">Spectrum</t>
  </si>
  <si>
    <t xml:space="preserve">Libertyville, IL</t>
  </si>
  <si>
    <t xml:space="preserve">12 villas</t>
  </si>
  <si>
    <t xml:space="preserve">None confirmed</t>
  </si>
  <si>
    <t xml:space="preserve">Capital Properties Acquisition Project (Libertyville)</t>
  </si>
  <si>
    <t xml:space="preserve">Lake Forest Place</t>
  </si>
  <si>
    <t xml:space="preserve">Lake Forest, IL</t>
  </si>
  <si>
    <t xml:space="preserve">114 villas (1722 – 2392 sq ft)</t>
  </si>
  <si>
    <t xml:space="preserve">Monthly fee starting at $6860; Entrance Fees starting at $545,800</t>
  </si>
  <si>
    <t xml:space="preserve">$490 in meals</t>
  </si>
  <si>
    <t xml:space="preserve">Weekly Housekeeping services</t>
  </si>
  <si>
    <t xml:space="preserve">Emergency Call System</t>
  </si>
  <si>
    <t xml:space="preserve">Interior/exterior maintenance</t>
  </si>
  <si>
    <t xml:space="preserve">Utilities included</t>
  </si>
  <si>
    <t xml:space="preserve">Attached two-car garage; In-unit washer/dryer w/ laundry room; Private patio</t>
  </si>
  <si>
    <t xml:space="preserve">Villa St. Benedict</t>
  </si>
  <si>
    <t xml:space="preserve">Benedictine Health Systems &amp; Benedictine Sisters of Saint Scholastica</t>
  </si>
  <si>
    <t xml:space="preserve">Lisle, IL</t>
  </si>
  <si>
    <t xml:space="preserve">56 villas (1200 – 1360 sq ft)</t>
  </si>
  <si>
    <t xml:space="preserve">Weekly housekeeping and linen service</t>
  </si>
  <si>
    <t xml:space="preserve">Emergency response system, including cable, internet, and phone</t>
  </si>
  <si>
    <t xml:space="preserve">Emergency response system, including cable, internet, and phone; All utilities</t>
  </si>
  <si>
    <t xml:space="preserve">Capital Properties Acquisition Project (Naperville)</t>
  </si>
  <si>
    <t xml:space="preserve">Wyndemere</t>
  </si>
  <si>
    <t xml:space="preserve">Wheaton, IL</t>
  </si>
  <si>
    <t xml:space="preserve">26 villas</t>
  </si>
  <si>
    <t xml:space="preserve">Attached two-car garage; In-unit washer/dryer w/ laundry room</t>
  </si>
  <si>
    <t xml:space="preserve">1968</t>
  </si>
  <si>
    <t xml:space="preserve">Alden of Waterford</t>
  </si>
  <si>
    <t xml:space="preserve">Alden Management Services Inc.</t>
  </si>
  <si>
    <t xml:space="preserve">Aurora, IL</t>
  </si>
  <si>
    <t xml:space="preserve">67 villas</t>
  </si>
  <si>
    <t xml:space="preserve">Amenities not confirmed online</t>
  </si>
  <si>
    <t xml:space="preserve">2002</t>
  </si>
  <si>
    <t xml:space="preserve">Tabor Hills</t>
  </si>
  <si>
    <t xml:space="preserve">Tabor Hills Corporate</t>
  </si>
  <si>
    <t xml:space="preserve">Naperville, IL</t>
  </si>
  <si>
    <t xml:space="preserve">104 villas</t>
  </si>
  <si>
    <t xml:space="preserve">Landscaping and grounds maintenance</t>
  </si>
  <si>
    <t xml:space="preserve">In-unit washer/dryer w/ utility room; Water, sewer, and trash service</t>
  </si>
  <si>
    <t xml:space="preserve">Attached, “extra-deep” garage; In-unit washer/dryer w/ utility room</t>
  </si>
  <si>
    <t xml:space="preserve">1994</t>
  </si>
  <si>
    <t xml:space="preserve">Green Hills Community</t>
  </si>
  <si>
    <t xml:space="preserve">Ames, IA</t>
  </si>
  <si>
    <t xml:space="preserve">82 villas (1306 – 2986 sq ft)</t>
  </si>
  <si>
    <t xml:space="preserve">Property taxes</t>
  </si>
  <si>
    <t xml:space="preserve">Attached garage; In-unit washer/dryer; Many w/ basements</t>
  </si>
  <si>
    <t xml:space="preserve">Capital Properties Acquisition Project (Ames)</t>
  </si>
  <si>
    <t xml:space="preserve">1986</t>
  </si>
  <si>
    <t xml:space="preserve">Northcrest Community</t>
  </si>
  <si>
    <t xml:space="preserve">Northcrest Foundation</t>
  </si>
  <si>
    <t xml:space="preserve">42 villas (1100 – 1850 sq ft)</t>
  </si>
  <si>
    <t xml:space="preserve">Attached one- and two-car garages; Many w/ two levels; In-unit washer/dryer; Private patio</t>
  </si>
  <si>
    <t xml:space="preserve">1965</t>
  </si>
  <si>
    <t xml:space="preserve">Pacific Springs Village</t>
  </si>
  <si>
    <t xml:space="preserve">Omaha, NE</t>
  </si>
  <si>
    <t xml:space="preserve">Rental-only continuum</t>
  </si>
  <si>
    <t xml:space="preserve">52 villas (920 – 2323 sq ft)</t>
  </si>
  <si>
    <t xml:space="preserve">“Home maintenance, including grounds, housekeeping and repairs”</t>
  </si>
  <si>
    <t xml:space="preserve">Emergency alert system; 24 hour security</t>
  </si>
  <si>
    <t xml:space="preserve">Utilities, including cable</t>
  </si>
  <si>
    <t xml:space="preserve">Some w/ two levels; Attached garages</t>
  </si>
  <si>
    <t xml:space="preserve">Capital Properties Acquisition Project (Omaha)</t>
  </si>
  <si>
    <t xml:space="preserve">2013 (patio homes); community opened 2002</t>
  </si>
  <si>
    <t xml:space="preserve">Hillcrest Country Village</t>
  </si>
  <si>
    <t xml:space="preserve">Hillcrest Health Services</t>
  </si>
  <si>
    <t xml:space="preserve">Papillion, NE</t>
  </si>
  <si>
    <t xml:space="preserve">Interior/exterior upkeep</t>
  </si>
  <si>
    <t xml:space="preserve">Trash service; Taxes/insurance included</t>
  </si>
  <si>
    <t xml:space="preserve">Finished basements available; Attached two-car garage</t>
  </si>
  <si>
    <t xml:space="preserve">Opened 2008</t>
  </si>
  <si>
    <t xml:space="preserve">Richmont Village</t>
  </si>
  <si>
    <t xml:space="preserve">MJ Senior Housing</t>
  </si>
  <si>
    <t xml:space="preserve">Bellevue, NE</t>
  </si>
  <si>
    <t xml:space="preserve">10 villas</t>
  </si>
  <si>
    <t xml:space="preserve">Georgetown Place</t>
  </si>
  <si>
    <t xml:space="preserve">Sonida Senior Living</t>
  </si>
  <si>
    <t xml:space="preserve">Fort Wayne, IN</t>
  </si>
  <si>
    <t xml:space="preserve">13 villas (1286 sq ft)</t>
  </si>
  <si>
    <t xml:space="preserve">Attached garage; Patio; In-unit washer/dryer</t>
  </si>
  <si>
    <t xml:space="preserve">Capital Properties Acquisition Project (Fort Wayne)</t>
  </si>
  <si>
    <t xml:space="preserve">Five Star Residences of Fort Wayne</t>
  </si>
  <si>
    <t xml:space="preserve">24 villas (1200 – 1355 sq ft)</t>
  </si>
  <si>
    <t xml:space="preserve">Starting at $2180</t>
  </si>
  <si>
    <t xml:space="preserve">Weekly housekeeping and linen services</t>
  </si>
  <si>
    <t xml:space="preserve">“Maintenance of home, building and grounds”</t>
  </si>
  <si>
    <t xml:space="preserve">1997</t>
  </si>
  <si>
    <t xml:space="preserve">Towne House Retirement Center</t>
  </si>
  <si>
    <t xml:space="preserve">92 villas (1850 – 2558 sq ft) 12 onsite (Chapmans Crossing); 80 at Prairie Landing (1335 Prairie Landing Parkway, Fort Wayne, IN 46804)</t>
  </si>
  <si>
    <t xml:space="preserve">Utilities (some include basic cable and local phone service)</t>
  </si>
  <si>
    <t xml:space="preserve">Attached two-car garage; In-unit washer/dryer; Patio; Some w/ extra level above garage</t>
  </si>
  <si>
    <t xml:space="preserve">Coventry Meadows</t>
  </si>
  <si>
    <t xml:space="preserve">36 villas (650 – 2970 sq ft)</t>
  </si>
  <si>
    <t xml:space="preserve">All utilities included except cable, phone, and Wi-Fi</t>
  </si>
  <si>
    <t xml:space="preserve">Some w/ two levels; Most w/ attached garages</t>
  </si>
  <si>
    <t xml:space="preserve">Piper Trail</t>
  </si>
  <si>
    <t xml:space="preserve">Lutheran Life Villages</t>
  </si>
  <si>
    <t xml:space="preserve">48 villas (1140 – 1676 sq ft)</t>
  </si>
  <si>
    <t xml:space="preserve">$1575 per month, based on an 80% refundable entrance fee</t>
  </si>
  <si>
    <t xml:space="preserve">In-unit washer/dryer; Rear-attached two-car garage</t>
  </si>
  <si>
    <t xml:space="preserve">Part of a larger CCRC campus w/ Lutheran Life Villages – The Village at Inverness</t>
  </si>
  <si>
    <t xml:space="preserve">2018 (villas); larger campus opened 2014</t>
  </si>
  <si>
    <t xml:space="preserve">Holy Cross Village – Notre Dame</t>
  </si>
  <si>
    <t xml:space="preserve">Brothers of the Holy Cross</t>
  </si>
  <si>
    <t xml:space="preserve">Notre Dame, IN</t>
  </si>
  <si>
    <t xml:space="preserve">38 villas (22 freestanding, 12 duplexes, one Quad 4-unit building)</t>
  </si>
  <si>
    <t xml:space="preserve">24/7 security; Emergency response system</t>
  </si>
  <si>
    <t xml:space="preserve">All utilities, including cable (excluding telephone and internet)</t>
  </si>
  <si>
    <t xml:space="preserve">Primrose Retirement Community of Mishawaka</t>
  </si>
  <si>
    <t xml:space="preserve">Mishawaka, IN</t>
  </si>
  <si>
    <t xml:space="preserve">8 villas (all 2 Bed/ 2 Bath, 1594 sq ft)</t>
  </si>
  <si>
    <t xml:space="preserve">Lawn care</t>
  </si>
  <si>
    <t xml:space="preserve">Utilities, including cable (excluding telephone and internet)</t>
  </si>
  <si>
    <t xml:space="preserve">Attached garage; In-unit washer/dryer; Front porch; Four season room; Gas fireplace</t>
  </si>
  <si>
    <t xml:space="preserve">2015</t>
  </si>
  <si>
    <t xml:space="preserve">Southfield Village</t>
  </si>
  <si>
    <t xml:space="preserve">Greencroft Communities</t>
  </si>
  <si>
    <t xml:space="preserve">South Bend, IN</t>
  </si>
  <si>
    <t xml:space="preserve">14 villas</t>
  </si>
  <si>
    <t xml:space="preserve">All utilities included</t>
  </si>
  <si>
    <t xml:space="preserve">Full basement; Patio or porch; Attached one- and two-car garages</t>
  </si>
  <si>
    <t xml:space="preserve">2009 (villas); main campus opened 2000</t>
  </si>
  <si>
    <t xml:space="preserve">Hubbard Hill</t>
  </si>
  <si>
    <t xml:space="preserve">Elkhart, IN</t>
  </si>
  <si>
    <t xml:space="preserve">84 villas (42 duplexes); 1380 sq ft</t>
  </si>
  <si>
    <t xml:space="preserve">Exterior maintenance</t>
  </si>
  <si>
    <t xml:space="preserve">City water &amp; sewer; insurance</t>
  </si>
  <si>
    <t xml:space="preserve">Some units include basements; Attached one-car garage (416 sq ft)</t>
  </si>
  <si>
    <t xml:space="preserve">Harmony at Elkhart IN</t>
  </si>
  <si>
    <t xml:space="preserve">Opened 1977</t>
  </si>
  <si>
    <t xml:space="preserve">Five Star Residences of Banta Pointe</t>
  </si>
  <si>
    <t xml:space="preserve">22 villas (922 – 1106 sq ft)</t>
  </si>
  <si>
    <t xml:space="preserve">Monthly rates starting at $2315</t>
  </si>
  <si>
    <t xml:space="preserve">One daily meal</t>
  </si>
  <si>
    <t xml:space="preserve">Weekly housekeeping and flat linen service</t>
  </si>
  <si>
    <t xml:space="preserve">“Maintenance of home, building and grounds</t>
  </si>
  <si>
    <t xml:space="preserve">Attached garages; In-unit washer/dryer; Sunroom</t>
  </si>
  <si>
    <t xml:space="preserve">Capital Properties Acquisition Project (Greenwood/Zionsville IN)</t>
  </si>
  <si>
    <t xml:space="preserve">Otterbein Franklin</t>
  </si>
  <si>
    <t xml:space="preserve">Otterbein SeniorLife</t>
  </si>
  <si>
    <t xml:space="preserve">Franklin, IN</t>
  </si>
  <si>
    <t xml:space="preserve">158 villas (1304 – 1976 sq ft)</t>
  </si>
  <si>
    <t xml:space="preserve">“Some utilities covered”</t>
  </si>
  <si>
    <t xml:space="preserve">1956</t>
  </si>
  <si>
    <t xml:space="preserve">Greenwood Village South</t>
  </si>
  <si>
    <t xml:space="preserve">Greenwood, IN</t>
  </si>
  <si>
    <t xml:space="preserve">78 villas</t>
  </si>
  <si>
    <t xml:space="preserve">Basic cable, water, and electric</t>
  </si>
  <si>
    <t xml:space="preserve">In-unit washer/dryer; Attached two-car garage</t>
  </si>
  <si>
    <t xml:space="preserve">1996</t>
  </si>
  <si>
    <t xml:space="preserve">Compass Park</t>
  </si>
  <si>
    <t xml:space="preserve">Indiana Free Masons</t>
  </si>
  <si>
    <t xml:space="preserve">98 villas (900 – 1800 sq ft)</t>
  </si>
  <si>
    <t xml:space="preserve">Emergency Call Service; 24/7 security</t>
  </si>
  <si>
    <t xml:space="preserve">Water &amp; sewer; Trash pickup</t>
  </si>
  <si>
    <t xml:space="preserve">Covered parking, most w/ attached garages</t>
  </si>
  <si>
    <t xml:space="preserve">Opened 1916</t>
  </si>
  <si>
    <t xml:space="preserve">Rosegate Assisted Living</t>
  </si>
  <si>
    <t xml:space="preserve">ALF/SNF w/ villa</t>
  </si>
  <si>
    <t xml:space="preserve">79 villas (12 one-bedroom and 67 two-bedroom)</t>
  </si>
  <si>
    <t xml:space="preserve">Garden homes starting at $1865</t>
  </si>
  <si>
    <t xml:space="preserve">“All utilities included except telephone”</t>
  </si>
  <si>
    <t xml:space="preserve">Altenheim Community</t>
  </si>
  <si>
    <t xml:space="preserve">12 villa</t>
  </si>
  <si>
    <t xml:space="preserve">Bi-weekly Housekeeping</t>
  </si>
  <si>
    <t xml:space="preserve">Utilities (electricity, gas, water, sewer, trash); taxes</t>
  </si>
  <si>
    <t xml:space="preserve">Attached one- and two-car garage</t>
  </si>
  <si>
    <t xml:space="preserve">Beech Grove Meadows</t>
  </si>
  <si>
    <t xml:space="preserve">Beech Grove, IN</t>
  </si>
  <si>
    <t xml:space="preserve">ALF/SNF w/ villas</t>
  </si>
  <si>
    <t xml:space="preserve">Garden Homes starting at $1323</t>
  </si>
  <si>
    <t xml:space="preserve">Ohio Living Breckenridge Village</t>
  </si>
  <si>
    <t xml:space="preserve">Ohio Living</t>
  </si>
  <si>
    <t xml:space="preserve">Willoughby, OH</t>
  </si>
  <si>
    <t xml:space="preserve">75 villas (1375 – 2000 sq ft)</t>
  </si>
  <si>
    <t xml:space="preserve">Emergency system</t>
  </si>
  <si>
    <t xml:space="preserve">Basic Cable; Property tax, insurance, water, and sewer</t>
  </si>
  <si>
    <t xml:space="preserve">Attached 1-, 1 ½-, and 2-car garages</t>
  </si>
  <si>
    <t xml:space="preserve">Danbury Chardon, OH</t>
  </si>
  <si>
    <t xml:space="preserve">1923</t>
  </si>
  <si>
    <t xml:space="preserve">Vitalia Mentor</t>
  </si>
  <si>
    <t xml:space="preserve">Mentor, OH</t>
  </si>
  <si>
    <t xml:space="preserve">59 villas (1191 – 1371 sq ft)</t>
  </si>
  <si>
    <t xml:space="preserve">Attached garage; Covered patio</t>
  </si>
  <si>
    <t xml:space="preserve">2023</t>
  </si>
  <si>
    <t xml:space="preserve">The Cottages at Allen Springs</t>
  </si>
  <si>
    <t xml:space="preserve">Covenant Developments</t>
  </si>
  <si>
    <t xml:space="preserve">villas</t>
  </si>
  <si>
    <t xml:space="preserve">61 villas</t>
  </si>
  <si>
    <t xml:space="preserve">Gas, electric, property taxes, city water, sewer, cable, and internet</t>
  </si>
  <si>
    <t xml:space="preserve">Priority access to American House Jenison</t>
  </si>
  <si>
    <t xml:space="preserve">In-unit washer/dryer; Attached garages</t>
  </si>
  <si>
    <t xml:space="preserve">Considered a comp?</t>
  </si>
  <si>
    <t xml:space="preserve">Marian Village</t>
  </si>
  <si>
    <t xml:space="preserve">Franciscan Ministries</t>
  </si>
  <si>
    <t xml:space="preserve">Homer Glen, IL</t>
  </si>
  <si>
    <t xml:space="preserve">Entrance Fee CCRC</t>
  </si>
  <si>
    <t xml:space="preserve">72 villas (1126 – 1300 sq ft)</t>
  </si>
  <si>
    <t xml:space="preserve">Romeoville IL Acquisition, Jan 2022</t>
  </si>
  <si>
    <t xml:space="preserve">Rose Senior Living Avon</t>
  </si>
  <si>
    <t xml:space="preserve">Avon, OH</t>
  </si>
  <si>
    <t xml:space="preserve">76 villas (966 – 1404 sq ft)</t>
  </si>
  <si>
    <t xml:space="preserve">One Bed/One Bath: $2385 | Two Bed/Two Bath: $2985 | Two Bed/Two Bath + den: $3480</t>
  </si>
  <si>
    <t xml:space="preserve">Attached two-car garage; In-unit washer/dryer; Screened patio</t>
  </si>
  <si>
    <t xml:space="preserve">Rocky River, OH – Fall 2021</t>
  </si>
  <si>
    <t xml:space="preserve">Sprenger Health Care Towne Center</t>
  </si>
  <si>
    <t xml:space="preserve">Avon Lake, OH</t>
  </si>
  <si>
    <t xml:space="preserve">?) (Rental-only continuum</t>
  </si>
  <si>
    <t xml:space="preserve">100ish villas</t>
  </si>
  <si>
    <t xml:space="preserve">No mention of villas on website or NIC Maps</t>
  </si>
  <si>
    <t xml:space="preserve">Pomeroy Orion</t>
  </si>
  <si>
    <t xml:space="preserve">Pomeroy Living</t>
  </si>
  <si>
    <t xml:space="preserve">Lake Orion, MI</t>
  </si>
  <si>
    <t xml:space="preserve">16 villas (1319 – 1625 sq ft)</t>
  </si>
  <si>
    <t xml:space="preserve">Blossom Ridge</t>
  </si>
  <si>
    <t xml:space="preserve">Moceri Companies</t>
  </si>
  <si>
    <t xml:space="preserve">Rochester, MI</t>
  </si>
  <si>
    <t xml:space="preserve">89 villas (1100 – 3184 sq ft)</t>
  </si>
  <si>
    <t xml:space="preserve">“Chef prepared dining options, light housekeeping, linen service, concierge service, resort-style amenities, planned activities, maintenance-free living and much more are included.”</t>
  </si>
  <si>
    <t xml:space="preserve">Attached garage; In-unit washer/dryer; Some w/ basements</t>
  </si>
  <si>
    <t xml:space="preserve">Baptist Manor</t>
  </si>
  <si>
    <t xml:space="preserve">Detroit Baptist Manor</t>
  </si>
  <si>
    <t xml:space="preserve">Farmington Hills, MI</t>
  </si>
  <si>
    <t xml:space="preserve">28 villas</t>
  </si>
  <si>
    <t xml:space="preserve">$1200 - $1400 (quad; 823-936 sq ft); $1800 (duplex; 1200 sq ft)</t>
  </si>
  <si>
    <t xml:space="preserve">Gas, water, sewage, and heat (tenant pays for electricity)</t>
  </si>
  <si>
    <t xml:space="preserve">Car port (quads; duplexes include attached garage); Laundry/utility room</t>
  </si>
  <si>
    <t xml:space="preserve">1988</t>
  </si>
  <si>
    <t xml:space="preserve">Sanctuary at Marian Oakland</t>
  </si>
  <si>
    <t xml:space="preserve">Trinity Senior Living Communities</t>
  </si>
  <si>
    <t xml:space="preserve">81 “villas” – interconnected apartment blocs w/ townhome-style private entryways</t>
  </si>
  <si>
    <t xml:space="preserve">Rates starting at $1037</t>
  </si>
  <si>
    <t xml:space="preserve">Weekly housekeeping services</t>
  </si>
  <si>
    <t xml:space="preserve">Emergency alert pendant</t>
  </si>
  <si>
    <t xml:space="preserve">Paid utilities; Cable (satellite)</t>
  </si>
  <si>
    <t xml:space="preserve">Attached garage; Kitchenettes extra</t>
  </si>
  <si>
    <t xml:space="preserve">1976</t>
  </si>
  <si>
    <t xml:space="preserve">Cedarbrook of Northville</t>
  </si>
  <si>
    <t xml:space="preserve">Cedarbrook Senior Living</t>
  </si>
  <si>
    <t xml:space="preserve">Plymouth, MI</t>
  </si>
  <si>
    <t xml:space="preserve">Electricity, gas, water, and basic cable</t>
  </si>
  <si>
    <t xml:space="preserve">The Village of Redford</t>
  </si>
  <si>
    <t xml:space="preserve">Presbyterian Villages of Michigan</t>
  </si>
  <si>
    <t xml:space="preserve">Redford, MI</t>
  </si>
  <si>
    <t xml:space="preserve">81 villas (775 – 1987 sq ft)</t>
  </si>
  <si>
    <t xml:space="preserve">Offers income-qualified options in addition to below-listed market rate pricing. | $1440 - $2115</t>
  </si>
  <si>
    <t xml:space="preserve">Sewer, water included (gas, electric, cable, and phone not included)</t>
  </si>
  <si>
    <t xml:space="preserve">Attached garage; In-unit washer/dryer (stackable)</t>
  </si>
  <si>
    <t xml:space="preserve">1945</t>
  </si>
  <si>
    <t xml:space="preserve">American House Dearborn</t>
  </si>
  <si>
    <t xml:space="preserve">American House</t>
  </si>
  <si>
    <t xml:space="preserve">Dearborn Heights, MI</t>
  </si>
  <si>
    <t xml:space="preserve">52 villas (650 – 850 sq ft)</t>
  </si>
  <si>
    <t xml:space="preserve">In-unit washer/dryer</t>
  </si>
  <si>
    <t xml:space="preserve">The Gables of Westerville</t>
  </si>
  <si>
    <t xml:space="preserve">Gables Management, Inc.</t>
  </si>
  <si>
    <t xml:space="preserve">Westerville, OH</t>
  </si>
  <si>
    <t xml:space="preserve">8 villas (795 – 1061 sq ft)</t>
  </si>
  <si>
    <t xml:space="preserve">Danbury Ohio Properties Review (Westerville)</t>
  </si>
  <si>
    <t xml:space="preserve">Wesley Woods</t>
  </si>
  <si>
    <t xml:space="preserve">Life Enriching Communities</t>
  </si>
  <si>
    <t xml:space="preserve">New Albany, OH</t>
  </si>
  <si>
    <t xml:space="preserve">12 villas (1347 – 1617 sq ft)</t>
  </si>
  <si>
    <t xml:space="preserve">$4254 for a one-bedroom villa; Entry Fee $282,900 (90% refundable) | $4754 for a two-bedroom villa; Entry Fee $339,600 (90% refundable)</t>
  </si>
  <si>
    <t xml:space="preserve">Daily continental breakfast</t>
  </si>
  <si>
    <t xml:space="preserve">Emergency response system; 24-hour security</t>
  </si>
  <si>
    <t xml:space="preserve">Electric, gas, water, Wi-Fi, phone, and cable included</t>
  </si>
  <si>
    <t xml:space="preserve">Twin Lakes</t>
  </si>
  <si>
    <t xml:space="preserve">Cincinnati, OH</t>
  </si>
  <si>
    <t xml:space="preserve">143 villas (1495 – 1670 sq ft)</t>
  </si>
  <si>
    <t xml:space="preserve">$4749 - $5168 starting fees; Entry Fee $247,300 - $300,400 (30% refundable)</t>
  </si>
  <si>
    <t xml:space="preserve">“Flexible meal allowance”</t>
  </si>
  <si>
    <t xml:space="preserve">Light monthly housekeeping</t>
  </si>
  <si>
    <t xml:space="preserve">Yearly allowance for health/wellness services</t>
  </si>
  <si>
    <t xml:space="preserve">Water, sewer, electricity, heating and air conditioning, real estate/property taxes, phone, and basic cable included</t>
  </si>
  <si>
    <t xml:space="preserve">In-unit washer/dryer; Attached garage</t>
  </si>
  <si>
    <t xml:space="preserve">Twin Towers</t>
  </si>
  <si>
    <t xml:space="preserve">130 villas</t>
  </si>
  <si>
    <t xml:space="preserve">$2615 for a studio home; Entry Fee $63,160 (refundable) | $2944 for a one-bedroom home; Entry Fee $81,900 (refundable) | $3272 for a two-bedroom home; Entry Fee $100,480 (refundable)</t>
  </si>
  <si>
    <t xml:space="preserve">Water, sewer, electricity, heating, air conditioning, insurance, property taxes, phone, and cable</t>
  </si>
  <si>
    <t xml:space="preserve">Wesley Glen</t>
  </si>
  <si>
    <t xml:space="preserve">Columbus, OH</t>
  </si>
  <si>
    <t xml:space="preserve">14 villas (968 – 1180 sq ft)</t>
  </si>
  <si>
    <t xml:space="preserve">$5547 for a one-bedroom home; Entry Fee $60,000 (90% refundable) | $6013 for a two-bedroom home; Entry Fee $60,000 (90% refundable)</t>
  </si>
  <si>
    <t xml:space="preserve">Electric, gas, water, phone, Wi-Fi, and cable</t>
  </si>
  <si>
    <t xml:space="preserve">1971</t>
  </si>
  <si>
    <t xml:space="preserve">Wesley Ridge</t>
  </si>
  <si>
    <t xml:space="preserve">Reynoldsburg, OH</t>
  </si>
  <si>
    <t xml:space="preserve">16 villas (1245 – 1475 sq ft)</t>
  </si>
  <si>
    <t xml:space="preserve">$2734 for a one-bedroom home; Entry Fee $192,600 (75% refundable) | $2996 for a two-bedroom home; Entry Fee $224,700 (75% refundable)</t>
  </si>
  <si>
    <t xml:space="preserve">Electric, gas, water, trash, and recycling</t>
  </si>
  <si>
    <t xml:space="preserve">Opened 1998</t>
  </si>
  <si>
    <t xml:space="preserve">Willow Brook at Delaware Run</t>
  </si>
  <si>
    <t xml:space="preserve">Willow Brook Christian Communities</t>
  </si>
  <si>
    <t xml:space="preserve">Delaware, OH</t>
  </si>
  <si>
    <t xml:space="preserve">55 villas (918 – 2126 sq ft)</t>
  </si>
  <si>
    <t xml:space="preserve">“Credit for several meals in the Willow Brook restaurants”</t>
  </si>
  <si>
    <t xml:space="preserve">Phone and cable; Insurance</t>
  </si>
  <si>
    <t xml:space="preserve">Attached garage; Private patio/deck</t>
  </si>
  <si>
    <t xml:space="preserve">Willow Brook at Christian Village</t>
  </si>
  <si>
    <t xml:space="preserve">60 villas (876 – 1382 sq ft)</t>
  </si>
  <si>
    <t xml:space="preserve">“Credit of meals in the Willow Brook restaurants”</t>
  </si>
  <si>
    <t xml:space="preserve">Cable</t>
  </si>
  <si>
    <t xml:space="preserve">Attached garage; In-unit washer/dryer; Basement optional</t>
  </si>
  <si>
    <t xml:space="preserve">Feridean Commons</t>
  </si>
  <si>
    <t xml:space="preserve">Feridean Commons Senior Housing, Ltd.</t>
  </si>
  <si>
    <t xml:space="preserve">villas &amp; AL</t>
  </si>
  <si>
    <t xml:space="preserve">40 villas – 32 one-bedroom layouts, 8 two-bedroom layouts (691 – 1510 sq ft)</t>
  </si>
  <si>
    <t xml:space="preserve">30 monthly meals</t>
  </si>
  <si>
    <t xml:space="preserve">Weekly housekeeping and bed linen services</t>
  </si>
  <si>
    <t xml:space="preserve">Water, sewer, property taxes, cable, and internet/Wi-Fi</t>
  </si>
  <si>
    <t xml:space="preserve">Attached garages available; Covered “veranda”</t>
  </si>
  <si>
    <t xml:space="preserve">2001</t>
  </si>
  <si>
    <t xml:space="preserve">Worthington Christian Village</t>
  </si>
  <si>
    <t xml:space="preserve">Worthington Inc</t>
  </si>
  <si>
    <t xml:space="preserve">24 villas (1508 – 1798 sq ft); all two bed/two bath</t>
  </si>
  <si>
    <t xml:space="preserve">Monthly Maintenance fee: $861 (regardless of unit layout) | Entry Fee $197,793 - $221,086 (75% refundable after cottage has been remarketed)</t>
  </si>
  <si>
    <t xml:space="preserve">Property taxes and water fees; Cable</t>
  </si>
  <si>
    <t xml:space="preserve">Only the villas (“cottages”) require an Entry Fee; IL, AL &amp; SNF units only ask for a small processing fee or security deposit ($250 - $700)</t>
  </si>
  <si>
    <t xml:space="preserve">Opened 1985</t>
  </si>
  <si>
    <t xml:space="preserve">Friendship Village of Dublin</t>
  </si>
  <si>
    <t xml:space="preserve">Dublin, OH</t>
  </si>
  <si>
    <t xml:space="preserve">20 villas (1380 – 1886 sq ft); 2 Bed/2 Bath, some w/ den</t>
  </si>
  <si>
    <t xml:space="preserve">Starting rate: $5700; Entrance Fee: $412,134 - $700,630</t>
  </si>
  <si>
    <t xml:space="preserve">$540 in monthly meal credits</t>
  </si>
  <si>
    <t xml:space="preserve">Bi-weekly housekeeping; weekly linen services</t>
  </si>
  <si>
    <t xml:space="preserve">All utilities, including cable, phone, and Wi-Fi</t>
  </si>
  <si>
    <t xml:space="preserve">2012</t>
  </si>
  <si>
    <t xml:space="preserve">Avondale</t>
  </si>
  <si>
    <t xml:space="preserve">National Church Residences</t>
  </si>
  <si>
    <t xml:space="preserve">100 villas</t>
  </si>
  <si>
    <t xml:space="preserve">$1500 for a one-bedroom home | $1700 for a two-bedroom home</t>
  </si>
  <si>
    <t xml:space="preserve">First Community Village</t>
  </si>
  <si>
    <t xml:space="preserve">38 villas</t>
  </si>
  <si>
    <t xml:space="preserve">Opened 2012 (villas); campus opened 1961</t>
  </si>
  <si>
    <t xml:space="preserve">Cherry Blossom</t>
  </si>
  <si>
    <t xml:space="preserve">Continental Senior Communities</t>
  </si>
  <si>
    <t xml:space="preserve">28 villas (1062 sq ft)</t>
  </si>
  <si>
    <t xml:space="preserve">Emergency alert system (pendant)</t>
  </si>
  <si>
    <t xml:space="preserve">Traditions Grove City</t>
  </si>
  <si>
    <t xml:space="preserve">Traditions Senior Living</t>
  </si>
  <si>
    <t xml:space="preserve">Grove City, OH</t>
  </si>
  <si>
    <t xml:space="preserve">None confirmed; none referenced on property’s website | Only reference to villas is in articles regarding the property’s development and the mixed-use development website for Beulah Park itself | Identified as a Danbury property in NIC Maps, though it appears to have been bought out by Traditions</t>
  </si>
  <si>
    <t xml:space="preserve">2022?</t>
  </si>
  <si>
    <t xml:space="preserve">Scioto Community</t>
  </si>
  <si>
    <t xml:space="preserve">villas + ALF/SNF</t>
  </si>
  <si>
    <t xml:space="preserve">Attached one-car garage; Private sunroom &amp; patio; In-unit washer/dryer w/ laundry room</t>
  </si>
  <si>
    <t xml:space="preserve">Village of East Harbor</t>
  </si>
  <si>
    <t xml:space="preserve">Chesterfield, MI</t>
  </si>
  <si>
    <t xml:space="preserve">55 villa</t>
  </si>
  <si>
    <t xml:space="preserve">$1693 - $3315 for a ranch home (1100 – 1200 sq ft) | $846 for a cottage home (1600 – 1681 sq ft); Entry Fee $270,000 - $293,000 (refundable)</t>
  </si>
  <si>
    <t xml:space="preserve">Some include some utilities</t>
  </si>
  <si>
    <t xml:space="preserve">In-unit washer/dryer; Attached garages available</t>
  </si>
  <si>
    <t xml:space="preserve">Opened 1978</t>
  </si>
  <si>
    <t xml:space="preserve">American House East I</t>
  </si>
  <si>
    <t xml:space="preserve">American House Senior Living Communities</t>
  </si>
  <si>
    <t xml:space="preserve">Roseville, MI</t>
  </si>
  <si>
    <t xml:space="preserve">IL &amp; MC</t>
  </si>
  <si>
    <t xml:space="preserve">30 villas (880 – 1080 sq ft)</t>
  </si>
  <si>
    <t xml:space="preserve">In-unit washer/dryer w/ laundry room</t>
  </si>
  <si>
    <t xml:space="preserve">Provision Living at Fenton</t>
  </si>
  <si>
    <t xml:space="preserve">Fenton, MI</t>
  </si>
  <si>
    <t xml:space="preserve">villas &amp; AL/MC</t>
  </si>
  <si>
    <t xml:space="preserve">10 villas (all two bed/two bath)</t>
  </si>
  <si>
    <t xml:space="preserve">Silver Maples of Chelsea</t>
  </si>
  <si>
    <t xml:space="preserve">Silver Maples, Inc.</t>
  </si>
  <si>
    <t xml:space="preserve">Chelsea, MI</t>
  </si>
  <si>
    <t xml:space="preserve">33 villas, including 17 under construction to open in Oct 2023 (1505 – 2030 sq ft)</t>
  </si>
  <si>
    <t xml:space="preserve">$2995 - $3770 for a two bed/two bath home; Entry Fees $137K - $470K</t>
  </si>
  <si>
    <t xml:space="preserve">10 meals per month</t>
  </si>
  <si>
    <t xml:space="preserve">All utilities (except phone, cable &amp; Wi-Fi); Property taxes</t>
  </si>
  <si>
    <t xml:space="preserve">Attached garage; In-unit washer/dryer; Gas fireplace</t>
  </si>
  <si>
    <t xml:space="preserve">The Cedars of Dexter</t>
  </si>
  <si>
    <t xml:space="preserve">Brio Living</t>
  </si>
  <si>
    <t xml:space="preserve">Dexter, MI</t>
  </si>
  <si>
    <t xml:space="preserve">60 villas, half 2-bed, half 3-bed (1510 – 1912)</t>
  </si>
  <si>
    <t xml:space="preserve">Clubhouse (library, café, saltwater pool, fitness center, billiards, etc.)</t>
  </si>
  <si>
    <t xml:space="preserve">(via campus amenities) Clubhouse (library, café, saltwater pool, fitness center, billiards, etc.)</t>
  </si>
  <si>
    <t xml:space="preserve">Glacier Hills</t>
  </si>
  <si>
    <t xml:space="preserve">Trinity Health</t>
  </si>
  <si>
    <t xml:space="preserve">Ann Arbor, MI</t>
  </si>
  <si>
    <t xml:space="preserve">26 villas (1387 – 1713 sq ft)</t>
  </si>
  <si>
    <t xml:space="preserve">Taxes, water, and sewer</t>
  </si>
  <si>
    <t xml:space="preserve">Attached 2-car garage; In-unit washer/dryer w/ laundry room; Fireplace</t>
  </si>
  <si>
    <t xml:space="preserve">All Seasons Ann Arbor</t>
  </si>
  <si>
    <t xml:space="preserve">Beztak Properties</t>
  </si>
  <si>
    <t xml:space="preserve">44 villas (1272 – 1448 sq ft)</t>
  </si>
  <si>
    <t xml:space="preserve">Attached Garage; In-unit washer/dryer</t>
  </si>
  <si>
    <t xml:space="preserve">Brecon Village</t>
  </si>
  <si>
    <t xml:space="preserve">Evangelical Homes of Michigan</t>
  </si>
  <si>
    <t xml:space="preserve">Saline, MI</t>
  </si>
  <si>
    <t xml:space="preserve">40 villas</t>
  </si>
  <si>
    <t xml:space="preserve">Chapel Hill</t>
  </si>
  <si>
    <t xml:space="preserve">United Church Homes</t>
  </si>
  <si>
    <t xml:space="preserve">Canal Fulton, OH</t>
  </si>
  <si>
    <t xml:space="preserve">49 villas</t>
  </si>
  <si>
    <t xml:space="preserve">Gas, electric, and water (residents pay for cable, internet, and phone)</t>
  </si>
  <si>
    <t xml:space="preserve">Danbury Wooster</t>
  </si>
  <si>
    <t xml:space="preserve">Danbury Senior Living</t>
  </si>
  <si>
    <t xml:space="preserve">Wooster, OH</t>
  </si>
  <si>
    <t xml:space="preserve">Garden patio</t>
  </si>
  <si>
    <t xml:space="preserve">All utilities, including cable and Wi-Fi</t>
  </si>
  <si>
    <t xml:space="preserve">Attached garage; Garden patio</t>
  </si>
  <si>
    <t xml:space="preserve">Property’s website only makes a single reference to villas onsite; above-listed amenities pulled from a promotional blog on the Danbury home site</t>
  </si>
  <si>
    <t xml:space="preserve">Orvilla Manor</t>
  </si>
  <si>
    <t xml:space="preserve">Orvilla</t>
  </si>
  <si>
    <t xml:space="preserve">Orrville, OH</t>
  </si>
  <si>
    <t xml:space="preserve">Concordia at Sumner</t>
  </si>
  <si>
    <t xml:space="preserve">Concordia Lutheran Ministries</t>
  </si>
  <si>
    <t xml:space="preserve">22 villas (1753 – 1880 sq ft)</t>
  </si>
  <si>
    <t xml:space="preserve">$2728 - $4628 for a villa; Entry Fee $30K - $180K</t>
  </si>
  <si>
    <t xml:space="preserve">Jackson Ridge</t>
  </si>
  <si>
    <t xml:space="preserve">Jackson Ridge Rehabilitation and Care</t>
  </si>
  <si>
    <t xml:space="preserve">villa + ALF/SNF</t>
  </si>
  <si>
    <t xml:space="preserve">6 villas (424 – 523 sq ft)</t>
  </si>
  <si>
    <t xml:space="preserve">Hea, AC, water, and satellite TV included</t>
  </si>
  <si>
    <t xml:space="preserve">Westover Retirement Community</t>
  </si>
  <si>
    <t xml:space="preserve">Community First Solutions</t>
  </si>
  <si>
    <t xml:space="preserve">Hamilton, OH</t>
  </si>
  <si>
    <t xml:space="preserve">20 villas (1215 – 1630 sq ft)</t>
  </si>
  <si>
    <t xml:space="preserve">$1804 for a one-bedroom home; Entry Fee: 90K | $1877 - $1903 for a two-bedroom home; Entry Fee: $105K - $165K</t>
  </si>
  <si>
    <t xml:space="preserve">Cable; Property taxes &amp; water fees</t>
  </si>
  <si>
    <t xml:space="preserve">1964</t>
  </si>
  <si>
    <t xml:space="preserve">Berkeley Square</t>
  </si>
  <si>
    <t xml:space="preserve">20 villas (1220 – 2780 sq ft)</t>
  </si>
  <si>
    <t xml:space="preserve">$1804 for a one-bedroom home; Entry Fee: $90K - $150K | $1881 for a two-bedroom home; Entry Fee: $115K - $260K | $1999 for a three-bedroom home; Entry Fee: 190K - $310K</t>
  </si>
  <si>
    <t xml:space="preserve">2023 (villas); main campus opened: 1987</t>
  </si>
  <si>
    <t xml:space="preserve">Chesterwood Village</t>
  </si>
  <si>
    <t xml:space="preserve">Hillandale Communities</t>
  </si>
  <si>
    <t xml:space="preserve">West Chester, OH</t>
  </si>
  <si>
    <t xml:space="preserve">59 villas</t>
  </si>
  <si>
    <t xml:space="preserve">The Christian Village at Mason</t>
  </si>
  <si>
    <t xml:space="preserve">Mason, OH</t>
  </si>
  <si>
    <t xml:space="preserve">189 villas</t>
  </si>
  <si>
    <t xml:space="preserve">Interior/exterior apartments</t>
  </si>
  <si>
    <t xml:space="preserve">Maple Knoll Village</t>
  </si>
  <si>
    <t xml:space="preserve">Maple Knoll Communities</t>
  </si>
  <si>
    <t xml:space="preserve">154 villas (1108 – 4000 sq ft)</t>
  </si>
  <si>
    <t xml:space="preserve">All utilities; Telephone, cable, and internet</t>
  </si>
  <si>
    <t xml:space="preserve">Attached garage; Patio</t>
  </si>
  <si>
    <t xml:space="preserve">Triple Creek Retirement Community</t>
  </si>
  <si>
    <t xml:space="preserve">$2599 for a two bed/two bath villa</t>
  </si>
  <si>
    <t xml:space="preserve">Bi-monthly housekeeping (”Interior Cleaning Services”)</t>
  </si>
  <si>
    <t xml:space="preserve">Evergreen Retirement Community</t>
  </si>
  <si>
    <t xml:space="preserve">Senior Lifestyle</t>
  </si>
  <si>
    <t xml:space="preserve">“Housekeeping services”</t>
  </si>
  <si>
    <t xml:space="preserve">Madonna Manor</t>
  </si>
  <si>
    <t xml:space="preserve">CHI Living Communities</t>
  </si>
  <si>
    <t xml:space="preserve">Villa Hills, KY</t>
  </si>
  <si>
    <t xml:space="preserve">10 villas (2 bed/2 bath)</t>
  </si>
  <si>
    <t xml:space="preserve">Water, sewer, and trash removal</t>
  </si>
  <si>
    <t xml:space="preserve">Attached garage; Patio; In-unit washer/dryer w/ laundry room</t>
  </si>
  <si>
    <t xml:space="preserve">St. Charles Community</t>
  </si>
  <si>
    <t xml:space="preserve">St. Charles Care Center, Inc.</t>
  </si>
  <si>
    <t xml:space="preserve">Covington, KY</t>
  </si>
  <si>
    <t xml:space="preserve">62 villas</t>
  </si>
  <si>
    <t xml:space="preserve">Attached garage; Patio/porch; In-unit washer/dryer w/ laundry room</t>
  </si>
  <si>
    <t xml:space="preserve">2017 (villas); main campus opened 1961</t>
  </si>
  <si>
    <t xml:space="preserve">Baptist Village of Owasso</t>
  </si>
  <si>
    <t xml:space="preserve">Baptist Village Retirement Communities</t>
  </si>
  <si>
    <t xml:space="preserve">Owasso, OK</t>
  </si>
  <si>
    <t xml:space="preserve">115 villas (1178 – 1632 sq ft)</t>
  </si>
  <si>
    <t xml:space="preserve">Attached garage; In-unit washer/dyer; Patio</t>
  </si>
  <si>
    <t xml:space="preserve">Opened 1986</t>
  </si>
  <si>
    <t xml:space="preserve">Trinity Woods</t>
  </si>
  <si>
    <t xml:space="preserve">Oklahoma Methodist Manor</t>
  </si>
  <si>
    <t xml:space="preserve">Tulsa, OK</t>
  </si>
  <si>
    <t xml:space="preserve">85 villas (700 – 2600 sq ft)</t>
  </si>
  <si>
    <t xml:space="preserve">$5493 - $6368 for a Lakeside Home; Entry Fee $339,300 - $360,500 (one 2B/2BA and one 3B/2BA listed online) | $3030 - $5730 for a villa, Entry Fees starting at $192,600 (two 1B/BA; three 2B/1.5 BA; two 1B/2BA; sixteen 2B/2BA – AS LISTED ONLINE) | $3244 - $4721 for a patio home; Entry Fees starting at $192K (1-2B/2BA; all listed online are 2B/2BA)</t>
  </si>
  <si>
    <t xml:space="preserve">Bellarose</t>
  </si>
  <si>
    <t xml:space="preserve">Sagora Senior Living</t>
  </si>
  <si>
    <t xml:space="preserve">Broken Arrow, OK</t>
  </si>
  <si>
    <t xml:space="preserve">8 villas (1600 sq ft)</t>
  </si>
  <si>
    <t xml:space="preserve">Baptist Village of Broken Arrow</t>
  </si>
  <si>
    <t xml:space="preserve">Baptist Village Communities</t>
  </si>
  <si>
    <t xml:space="preserve">Attached garage; Patio/terrace; In-unit washer/dryer</t>
  </si>
  <si>
    <t xml:space="preserve">Country Club at Woodland Hills</t>
  </si>
  <si>
    <t xml:space="preserve">Discovery Senior Living</t>
  </si>
  <si>
    <t xml:space="preserve">50 villas (1128 – 1239 sq ft)</t>
  </si>
  <si>
    <t xml:space="preserve">$3465 – 3635 for a cottage home (2 bed/2 bath)</t>
  </si>
  <si>
    <t xml:space="preserve">Attached garage; Washer/dryer connections; Fireplace</t>
  </si>
  <si>
    <t xml:space="preserve">Montereau</t>
  </si>
  <si>
    <t xml:space="preserve">The William K Warren Foundation</t>
  </si>
  <si>
    <t xml:space="preserve">37 villas (1492 – 2138 sq ft)</t>
  </si>
  <si>
    <t xml:space="preserve">Entry Fees for villas start at $552K</t>
  </si>
  <si>
    <t xml:space="preserve">“Flexible dining account”</t>
  </si>
  <si>
    <t xml:space="preserve">Zarrow Pointe</t>
  </si>
  <si>
    <t xml:space="preserve">Tulsa Jewish</t>
  </si>
  <si>
    <t xml:space="preserve">38 villas (1600 – 2200 sq ft)</t>
  </si>
  <si>
    <t xml:space="preserve">$4905 - $6025 for a villa; Entrance Fee $60K</t>
  </si>
  <si>
    <t xml:space="preserve">Monthly meal allowance</t>
  </si>
  <si>
    <t xml:space="preserve">Gated entry</t>
  </si>
  <si>
    <t xml:space="preserve">Attached two-car garage; Covered porch; In-unit washer/dryer</t>
  </si>
  <si>
    <t xml:space="preserve">Covenant Living at Inverness</t>
  </si>
  <si>
    <t xml:space="preserve">Covenant Senior Living</t>
  </si>
  <si>
    <t xml:space="preserve">60 villas (1516 – 2308 sq ft)</t>
  </si>
  <si>
    <t xml:space="preserve">Optional safe room</t>
  </si>
  <si>
    <t xml:space="preserve">University Village</t>
  </si>
  <si>
    <t xml:space="preserve">University Village Retirement LLC</t>
  </si>
  <si>
    <t xml:space="preserve">Morada Broken Arrow</t>
  </si>
  <si>
    <t xml:space="preserve">Morada Senior Living</t>
  </si>
  <si>
    <t xml:space="preserve">10 villas (1252 – 1284 sq ft)</t>
  </si>
  <si>
    <t xml:space="preserve">$3795 starting rate for a cottage home</t>
  </si>
  <si>
    <t xml:space="preserve">Weekly housekeeping and light linen service</t>
  </si>
  <si>
    <t xml:space="preserve">Emergency response system (w/ pendant)</t>
  </si>
  <si>
    <t xml:space="preserve">Water, electric, and Wi-Fi included</t>
  </si>
  <si>
    <t xml:space="preserve">Touchmark at Coffee Creek</t>
  </si>
  <si>
    <t xml:space="preserve">Touchmark Living Centers, Inc.</t>
  </si>
  <si>
    <t xml:space="preserve">Edmond, OK</t>
  </si>
  <si>
    <t xml:space="preserve">31 villas (1280 – 1321 sq ft)</t>
  </si>
  <si>
    <t xml:space="preserve">Emergency maintenance</t>
  </si>
  <si>
    <t xml:space="preserve">Utilities; Expanded basic cable</t>
  </si>
  <si>
    <t xml:space="preserve">Attached two-car garages; Washer/dryer connections only; Gas fireplaces</t>
  </si>
  <si>
    <t xml:space="preserve">Bradford Village</t>
  </si>
  <si>
    <t xml:space="preserve">Villagio Senior Living</t>
  </si>
  <si>
    <t xml:space="preserve">79 villas</t>
  </si>
  <si>
    <t xml:space="preserve">Silver Elm Estates</t>
  </si>
  <si>
    <t xml:space="preserve">McCasland Companies</t>
  </si>
  <si>
    <t xml:space="preserve">18 villas (1300 sq ft)</t>
  </si>
  <si>
    <t xml:space="preserve">$3150 for a two-bed/two-bath cottage | $1300 Community Fee</t>
  </si>
  <si>
    <t xml:space="preserve">Utilities</t>
  </si>
  <si>
    <t xml:space="preserve">Lyndale Edmon Senior Living</t>
  </si>
  <si>
    <t xml:space="preserve">13 villas</t>
  </si>
  <si>
    <t xml:space="preserve">Three daily meals &amp; Sunday brunch</t>
  </si>
  <si>
    <t xml:space="preserve">Attached two-car garage; Washer/dryer hookups only; Private patio</t>
  </si>
  <si>
    <t xml:space="preserve">Epworth Villa</t>
  </si>
  <si>
    <t xml:space="preserve">Oklahoma Conference of United Methodist Churches</t>
  </si>
  <si>
    <t xml:space="preserve">Oklahoma City, OK</t>
  </si>
  <si>
    <t xml:space="preserve">52 villas (1400 – 2313 sq ft)</t>
  </si>
  <si>
    <t xml:space="preserve">“Flexible dining plans”</t>
  </si>
  <si>
    <t xml:space="preserve">Weekly flat linen service; Bi-weekly housekeeping</t>
  </si>
  <si>
    <t xml:space="preserve">Emergency call system; 24 hour security</t>
  </si>
  <si>
    <t xml:space="preserve">All utilities plus Wi-Fi &amp; cable</t>
  </si>
  <si>
    <t xml:space="preserve">Opened 2013 (villas); campus opened 1990</t>
  </si>
  <si>
    <t xml:space="preserve">Concordia Life Plan Community</t>
  </si>
  <si>
    <t xml:space="preserve">12 villas (1217 sq ft)</t>
  </si>
  <si>
    <t xml:space="preserve">$2850 monthly fee</t>
  </si>
  <si>
    <t xml:space="preserve">Two daily meals w/ monthly dining allowance</t>
  </si>
  <si>
    <t xml:space="preserve">Weekly housekeeping w/ linen service</t>
  </si>
  <si>
    <t xml:space="preserve">24 hour security</t>
  </si>
  <si>
    <t xml:space="preserve">Utilities including cable</t>
  </si>
  <si>
    <t xml:space="preserve">Attached garage; In-unit washer/dryer; Private patio</t>
  </si>
  <si>
    <t xml:space="preserve">Emerald Square</t>
  </si>
  <si>
    <t xml:space="preserve">Integral Senior Living</t>
  </si>
  <si>
    <t xml:space="preserve">AL w/ villas</t>
  </si>
  <si>
    <t xml:space="preserve">6 villas (709 sq ft)</t>
  </si>
  <si>
    <t xml:space="preserve">Utilities (including cable and Wi-Fi)</t>
  </si>
  <si>
    <t xml:space="preserve">Attached single-car garage; Private patio</t>
  </si>
  <si>
    <t xml:space="preserve">Homestead of Del City</t>
  </si>
  <si>
    <t xml:space="preserve">Homestead Healthcare Services</t>
  </si>
  <si>
    <t xml:space="preserve">AL/MC w/ villas</t>
  </si>
  <si>
    <t xml:space="preserve">6 villas (2 Bed/ 2 Bath; 1630 sq ft)</t>
  </si>
  <si>
    <t xml:space="preserve">Utilities, including taxes &amp; insurance</t>
  </si>
  <si>
    <t xml:space="preserve">Village on the Park Oklahoma City</t>
  </si>
  <si>
    <t xml:space="preserve">Retirement Center Management Inc</t>
  </si>
  <si>
    <t xml:space="preserve">28 villas (768 – 1057 sq ft)</t>
  </si>
  <si>
    <t xml:space="preserve">In-unit washer/dryers w/ laundry room; Attached garage &amp; car port</t>
  </si>
  <si>
    <t xml:space="preserve">Village Pointe Commons</t>
  </si>
  <si>
    <t xml:space="preserve">Capri Communities</t>
  </si>
  <si>
    <t xml:space="preserve">Grafton, WI</t>
  </si>
  <si>
    <t xml:space="preserve">16 villas (1520 – 1632 sq ft)</t>
  </si>
  <si>
    <t xml:space="preserve">Electricity &amp; water included; Cable &amp; Wi-Fi</t>
  </si>
  <si>
    <t xml:space="preserve">In-unit washer/dryers; Attached garage</t>
  </si>
  <si>
    <t xml:space="preserve">The Gables of Germantown</t>
  </si>
  <si>
    <t xml:space="preserve">Germantown, WI</t>
  </si>
  <si>
    <t xml:space="preserve">22 villas (1500 sq ft)</t>
  </si>
  <si>
    <t xml:space="preserve">Water fees included; Cable</t>
  </si>
  <si>
    <t xml:space="preserve">Attached garage; Private patio; In-unit washer/dryer</t>
  </si>
  <si>
    <t xml:space="preserve">Grace Commons</t>
  </si>
  <si>
    <t xml:space="preserve">Menomonee Falls, WI</t>
  </si>
  <si>
    <t xml:space="preserve">$100 dining allowance per month</t>
  </si>
  <si>
    <t xml:space="preserve">2020</t>
  </si>
  <si>
    <t xml:space="preserve">Wilson Commons</t>
  </si>
  <si>
    <t xml:space="preserve">Milwaukee, WI</t>
  </si>
  <si>
    <t xml:space="preserve">17 villas</t>
  </si>
  <si>
    <t xml:space="preserve">Water, sewer, and trash included</t>
  </si>
  <si>
    <t xml:space="preserve">The Woods</t>
  </si>
  <si>
    <t xml:space="preserve">Greatlife Communities</t>
  </si>
  <si>
    <t xml:space="preserve">Greenfield, WI</t>
  </si>
  <si>
    <t xml:space="preserve">ranch-style IL &amp; AL apartments</t>
  </si>
  <si>
    <t xml:space="preserve">72 villas (58 one-bedroom, 800-886 sq ft; 14 two-bedroom, 1142-1184 sq ft)</t>
  </si>
  <si>
    <t xml:space="preserve">24/7 security</t>
  </si>
  <si>
    <t xml:space="preserve">Heated underground parking; In-unit washer/dryer</t>
  </si>
  <si>
    <t xml:space="preserve">May, 2023</t>
  </si>
  <si>
    <t xml:space="preserve">Skaalen Stoughton Campus</t>
  </si>
  <si>
    <t xml:space="preserve">Skaalen Retirement Services</t>
  </si>
  <si>
    <t xml:space="preserve">Stoughton, WI</t>
  </si>
  <si>
    <t xml:space="preserve">164 villas (1200 – 1350 sq ft)</t>
  </si>
  <si>
    <t xml:space="preserve">All Saints Neighborhood</t>
  </si>
  <si>
    <t xml:space="preserve">ElderSpan Management, LLC</t>
  </si>
  <si>
    <t xml:space="preserve">Madison, WI</t>
  </si>
  <si>
    <t xml:space="preserve">Covenant Village of Northbrook</t>
  </si>
  <si>
    <t xml:space="preserve">Covenant Retirement Communities</t>
  </si>
  <si>
    <t xml:space="preserve">Northbrook, IL</t>
  </si>
  <si>
    <t xml:space="preserve">48 villas (975 – 2275 sq ft)</t>
  </si>
  <si>
    <t xml:space="preserve">1974 (villas); campus opened 1964</t>
  </si>
  <si>
    <t xml:space="preserve">The Oaks at Bartlett</t>
  </si>
  <si>
    <t xml:space="preserve">Evergreen Senior Management (“ER Senior Management, LLC”)</t>
  </si>
  <si>
    <t xml:space="preserve">Bartlett, IL</t>
  </si>
  <si>
    <t xml:space="preserve">10 villas (1465 – 1660 sq ft)</t>
  </si>
  <si>
    <t xml:space="preserve">Monthly fees starting at $3650 | Entry Fee: $425K (90% refundable)</t>
  </si>
  <si>
    <t xml:space="preserve">Attached one-car garage; In-unit washer/dryer w/ laundry room</t>
  </si>
  <si>
    <t xml:space="preserve">Covenant Living at Windsor Park</t>
  </si>
  <si>
    <t xml:space="preserve">Carol Stream, IL</t>
  </si>
  <si>
    <t xml:space="preserve">62 villas (1500 – 1925 sq ft)</t>
  </si>
  <si>
    <t xml:space="preserve">Attached garage; Basement; Laundry room</t>
  </si>
  <si>
    <t xml:space="preserve">Bridgeway of Bensenville</t>
  </si>
  <si>
    <t xml:space="preserve">Sheridan Health Care/Bridgeway Senior Living LLC</t>
  </si>
  <si>
    <t xml:space="preserve">Bensenville, IL</t>
  </si>
  <si>
    <t xml:space="preserve">13 villas (6 one-bedroom, 6 two-bedroom and “one full house”)</t>
  </si>
  <si>
    <t xml:space="preserve">“Light Housekeeping services”; “Laundry services”</t>
  </si>
  <si>
    <t xml:space="preserve">1960</t>
  </si>
  <si>
    <t xml:space="preserve">Provision Living at Forest Hills</t>
  </si>
  <si>
    <t xml:space="preserve">$3500 - $3950 for each two-bedroom unit | $10K deposit</t>
  </si>
  <si>
    <t xml:space="preserve">Anthology of Mayfield Heights</t>
  </si>
  <si>
    <t xml:space="preserve">$6900 for a two bedroom unit</t>
  </si>
  <si>
    <t xml:space="preserve">Westminster Place</t>
  </si>
  <si>
    <t xml:space="preserve">Evanston, IL</t>
  </si>
  <si>
    <t xml:space="preserve">103 villas (710 – 2200 sq ft; 2 Bed/1 Bath &amp; 2 Bed/2 Bath)</t>
  </si>
  <si>
    <t xml:space="preserve">Entrance Fee starting at $126,200</t>
  </si>
  <si>
    <t xml:space="preserve">In-unit washer/dryer; Private patio; Attached garage</t>
  </si>
  <si>
    <t xml:space="preserve">1904</t>
  </si>
  <si>
    <t xml:space="preserve">Danbury Millersburg</t>
  </si>
  <si>
    <t xml:space="preserve">Danbury Senior Living/Common Sail</t>
  </si>
  <si>
    <t xml:space="preserve">Millersburg, OH</t>
  </si>
  <si>
    <t xml:space="preserve">Walnut Hills Retirement Community</t>
  </si>
  <si>
    <t xml:space="preserve">Walnut Creek, OH</t>
  </si>
  <si>
    <t xml:space="preserve">34 villas (870 – 1515 sq ft)</t>
  </si>
  <si>
    <t xml:space="preserve">Real estate taxes</t>
  </si>
  <si>
    <t xml:space="preserve">Attached garage; In-unit washer/dryer; Porch/deck</t>
  </si>
  <si>
    <t xml:space="preserve">West View Healthy Living</t>
  </si>
  <si>
    <t xml:space="preserve">Church of the Brethren Home West</t>
  </si>
  <si>
    <t xml:space="preserve">Trash removal, water, sewer, property taxes, and building insurance</t>
  </si>
  <si>
    <t xml:space="preserve">Attached garage; Patios and/or sunrooms</t>
  </si>
  <si>
    <t xml:space="preserve">Opened 1956</t>
  </si>
  <si>
    <t xml:space="preserve">Porter Hills Village</t>
  </si>
  <si>
    <t xml:space="preserve">Brio</t>
  </si>
  <si>
    <t xml:space="preserve">22 villas (1390 – 1655 sq ft)</t>
  </si>
  <si>
    <t xml:space="preserve">Two levels; Attached two-stall garages; Gas fireplaces; Rear patios/decks; Laundry Rooms</t>
  </si>
  <si>
    <t xml:space="preserve">1970</t>
  </si>
  <si>
    <t xml:space="preserve">Hamlet at Chagrin Falls</t>
  </si>
  <si>
    <t xml:space="preserve">Greenbriar Senior Living</t>
  </si>
  <si>
    <t xml:space="preserve">Chagrin Falls, OH</t>
  </si>
  <si>
    <t xml:space="preserve">9 villas</t>
  </si>
  <si>
    <t xml:space="preserve">South Franklin Circle</t>
  </si>
  <si>
    <t xml:space="preserve">Judson Smart Living</t>
  </si>
  <si>
    <t xml:space="preserve">56 villas</t>
  </si>
  <si>
    <t xml:space="preserve">24-hour security; Emergency response system</t>
  </si>
  <si>
    <t xml:space="preserve">Some w/ attached garages; Some two-story</t>
  </si>
  <si>
    <t xml:space="preserve">Jennings Garfield Heights</t>
  </si>
  <si>
    <t xml:space="preserve">Jennings Group</t>
  </si>
  <si>
    <t xml:space="preserve">Garfield Heights, OH</t>
  </si>
  <si>
    <t xml:space="preserve">Private patio &amp; garden area</t>
  </si>
  <si>
    <t xml:space="preserve">Gas, electric, water, cable, and real estate taxes included</t>
  </si>
  <si>
    <t xml:space="preserve">Attached one-car garage; Gas fireplace; Private patio &amp; garden area</t>
  </si>
  <si>
    <t xml:space="preserve">1996 (villas); campus opened 1942</t>
  </si>
  <si>
    <t xml:space="preserve">Vitalia at Rockside</t>
  </si>
  <si>
    <t xml:space="preserve">Seven Hills, OH</t>
  </si>
  <si>
    <t xml:space="preserve">18 villas (1191 – 1383 sq ft)</t>
  </si>
  <si>
    <t xml:space="preserve">Attached garage (1.5 &amp; 2-car); In-unit washer/dryer</t>
  </si>
  <si>
    <t xml:space="preserve">The Renaissance</t>
  </si>
  <si>
    <t xml:space="preserve">Eliza Jennings</t>
  </si>
  <si>
    <t xml:space="preserve">Olmsted Township, OH</t>
  </si>
  <si>
    <t xml:space="preserve">79 villas (1423 – 1785 sq ft)</t>
  </si>
  <si>
    <t xml:space="preserve">“Choice of meal plan”</t>
  </si>
  <si>
    <t xml:space="preserve">“Routine housekeeping”</t>
  </si>
  <si>
    <t xml:space="preserve">Clinic and physician services</t>
  </si>
  <si>
    <t xml:space="preserve">24-hour security</t>
  </si>
  <si>
    <t xml:space="preserve">All utilities (except telephone); Cable</t>
  </si>
  <si>
    <t xml:space="preserve">North Ridgeville Danbury</t>
  </si>
  <si>
    <t xml:space="preserve">North Ridgeville, OH</t>
  </si>
  <si>
    <t xml:space="preserve">Vitalia North Olmsted</t>
  </si>
  <si>
    <t xml:space="preserve">North Olmsted, OH</t>
  </si>
  <si>
    <t xml:space="preserve">The Village</t>
  </si>
  <si>
    <t xml:space="preserve">WesleyLife</t>
  </si>
  <si>
    <t xml:space="preserve">Indianola, IA</t>
  </si>
  <si>
    <t xml:space="preserve">46 villas (1080 – 4000+ sq ft)</t>
  </si>
  <si>
    <t xml:space="preserve">Entry Fees for Town Homes start at $169,900 w/ a 50% refund | IL apartment EF: $89,900 | AL units: $4508 monthly</t>
  </si>
  <si>
    <t xml:space="preserve">Garden; chapel; woodworking shop; therapy; multiple dining venues</t>
  </si>
  <si>
    <t xml:space="preserve">(via campus amenities) Garden; chapel; woodworking shop; therapy; multiple dining venues</t>
  </si>
  <si>
    <t xml:space="preserve">Attached garage; In-unit washer/dryer; Porch/patio</t>
  </si>
  <si>
    <t xml:space="preserve">1991</t>
  </si>
  <si>
    <t xml:space="preserve">Calvin Community</t>
  </si>
  <si>
    <t xml:space="preserve">Utilities included (gas, water, and electric)</t>
  </si>
  <si>
    <t xml:space="preserve">Attached double garage; In-unit washer/dryer</t>
  </si>
  <si>
    <t xml:space="preserve">2021 (villas &amp; new apts); community opened 1966</t>
  </si>
  <si>
    <t xml:space="preserve">Edgewater</t>
  </si>
  <si>
    <t xml:space="preserve">West Des Moines, IA</t>
  </si>
  <si>
    <t xml:space="preserve">13 villas (1702 – 1854 sq ft; 2 &amp; 3 bedroom layouts)</t>
  </si>
  <si>
    <t xml:space="preserve">Garden, fitness studio, onsite store</t>
  </si>
  <si>
    <t xml:space="preserve">Concierge Services</t>
  </si>
  <si>
    <t xml:space="preserve">Attached garage; Fireplace; In-unit washer/dryer; Porch/patio</t>
  </si>
  <si>
    <t xml:space="preserve">Spurgeon Manor</t>
  </si>
  <si>
    <t xml:space="preserve">Dallas Center, IA</t>
  </si>
  <si>
    <t xml:space="preserve">Chapel; fitness room</t>
  </si>
  <si>
    <t xml:space="preserve">Therapy available; Chapel; fitness room</t>
  </si>
  <si>
    <t xml:space="preserve">1985 (villas); campus opened 1971</t>
  </si>
  <si>
    <t xml:space="preserve">Carrick Glen</t>
  </si>
  <si>
    <t xml:space="preserve">GoodWorks Unlimited, LLC</t>
  </si>
  <si>
    <t xml:space="preserve">Mount Juliet, TN</t>
  </si>
  <si>
    <t xml:space="preserve">AL/MC facility w/ villas</t>
  </si>
  <si>
    <t xml:space="preserve">In-unit washer/dryer; Porch; Some include attached garage</t>
  </si>
  <si>
    <t xml:space="preserve">McKendree Village</t>
  </si>
  <si>
    <t xml:space="preserve">Trousdale Living Communities</t>
  </si>
  <si>
    <t xml:space="preserve">Hermitage, TN</t>
  </si>
  <si>
    <t xml:space="preserve">29 villas</t>
  </si>
  <si>
    <t xml:space="preserve">Access to therapy services; Care services available</t>
  </si>
  <si>
    <t xml:space="preserve">Care services available</t>
  </si>
  <si>
    <t xml:space="preserve">Attached garages available</t>
  </si>
  <si>
    <t xml:space="preserve">1963</t>
  </si>
  <si>
    <t xml:space="preserve">Fountains of Franklin</t>
  </si>
  <si>
    <t xml:space="preserve">Franklin, TN</t>
  </si>
  <si>
    <t xml:space="preserve">In-unit washer/dryer w/ laundry room; Gas fireplace; Screened-in porch; Attached two-car garage</t>
  </si>
  <si>
    <t xml:space="preserve">Robinwood</t>
  </si>
  <si>
    <t xml:space="preserve">Resort Lifestyle Communities</t>
  </si>
  <si>
    <t xml:space="preserve">Bartlett, TN</t>
  </si>
  <si>
    <t xml:space="preserve">villas &amp; IL apartments</t>
  </si>
  <si>
    <t xml:space="preserve">14 villas (1221 sq ft; all 2 Bed/2 Bath)</t>
  </si>
  <si>
    <t xml:space="preserve">Gift Shop; billiards</t>
  </si>
  <si>
    <t xml:space="preserve">Homecare available</t>
  </si>
  <si>
    <t xml:space="preserve">Utilities, including Cable &amp; Wi-Fi</t>
  </si>
  <si>
    <t xml:space="preserve">24/7 Concierge; live-in managers; Homecare available</t>
  </si>
  <si>
    <t xml:space="preserve">Trezevant</t>
  </si>
  <si>
    <t xml:space="preserve">Trezevant Foundation</t>
  </si>
  <si>
    <t xml:space="preserve">Memphis, TN</t>
  </si>
  <si>
    <t xml:space="preserve">36 villas (1850 – 2100 sq ft)</t>
  </si>
  <si>
    <t xml:space="preserve">Gardens; fitness gym; chapel; billiards</t>
  </si>
  <si>
    <t xml:space="preserve">Multiple dining venues</t>
  </si>
  <si>
    <t xml:space="preserve">Wellness Services available; Gardens; fitness gym; chapel; billiards</t>
  </si>
  <si>
    <t xml:space="preserve">Gated campus; Emergency call system; 24 hr security</t>
  </si>
  <si>
    <t xml:space="preserve">Attached garage; Optional second floor</t>
  </si>
  <si>
    <t xml:space="preserve">Opus East Memphis</t>
  </si>
  <si>
    <t xml:space="preserve">Arbor Company</t>
  </si>
  <si>
    <t xml:space="preserve">60 villas (1310 – 1765 sq ft; all 2 Bed/2 Bath)</t>
  </si>
  <si>
    <t xml:space="preserve">Fitness center &amp; pool; Billiards; theater</t>
  </si>
  <si>
    <t xml:space="preserve">Daily breakfast including Sunday brunch + 20 meals each month</t>
  </si>
  <si>
    <t xml:space="preserve">Housekeeping services available (included?)</t>
  </si>
  <si>
    <t xml:space="preserve">(via campus amenities) Fitness center &amp; pool; Access to wellness services/center; rehab services</t>
  </si>
  <si>
    <t xml:space="preserve">Attached one- &amp; 2-car garages; In-unit washer/dryer w/ laundry room</t>
  </si>
  <si>
    <t xml:space="preserve">Kirby Pines</t>
  </si>
  <si>
    <t xml:space="preserve">Retirement Companies of America</t>
  </si>
  <si>
    <t xml:space="preserve">44 villas</t>
  </si>
  <si>
    <t xml:space="preserve">Billiards; chapel; woodworking shop; computer center</t>
  </si>
  <si>
    <t xml:space="preserve">Rehab available; Fitness/Wellness center; onsite clinic</t>
  </si>
  <si>
    <t xml:space="preserve">Gated campus; 24 hr security</t>
  </si>
  <si>
    <t xml:space="preserve">In-unit washer/dryer w/ laundry room; Attached garage; Gas fireplace; Private patio</t>
  </si>
  <si>
    <t xml:space="preserve">1995 (villas); campus opened 1983</t>
  </si>
  <si>
    <t xml:space="preserve">The Village at Germantown</t>
  </si>
  <si>
    <t xml:space="preserve">Germantown, TN</t>
  </si>
  <si>
    <t xml:space="preserve">59 villas (1633 sq ft)</t>
  </si>
  <si>
    <t xml:space="preserve">Multiple dining venues; 20 monthly meals</t>
  </si>
  <si>
    <t xml:space="preserve">Bi-weekly housekeeping w/ linen services</t>
  </si>
  <si>
    <t xml:space="preserve">Onsite Health Center; 10 free (non-consecutive) days per year; Fitness center</t>
  </si>
  <si>
    <t xml:space="preserve">24 hr EMT/Security; Emergency call system</t>
  </si>
  <si>
    <t xml:space="preserve">Utilities (water, sewer, heat/air conditioning, electricity); cable &amp; phone extra</t>
  </si>
  <si>
    <t xml:space="preserve">Attached one-car garage; In-unit washer/dryer; Private patio</t>
  </si>
  <si>
    <t xml:space="preserve">The Farms at Bailey Station</t>
  </si>
  <si>
    <t xml:space="preserve">Collierville, TN</t>
  </si>
  <si>
    <t xml:space="preserve">63 villas (2500 – 4000 sq ft)</t>
  </si>
  <si>
    <t xml:space="preserve">Chapel</t>
  </si>
  <si>
    <t xml:space="preserve">Health clinic; Fitness center</t>
  </si>
  <si>
    <t xml:space="preserve">Garage parking; Many w/ elevator-accessible second stories; 3 and 4 Bedroom options, w/ 3+ bathrooms</t>
  </si>
  <si>
    <t xml:space="preserve">Harrison Springs</t>
  </si>
  <si>
    <t xml:space="preserve">Corydon, IN</t>
  </si>
  <si>
    <t xml:space="preserve">Majority SNF w/ AL/MC &amp; villas</t>
  </si>
  <si>
    <t xml:space="preserve">Villas starting at $2749</t>
  </si>
  <si>
    <t xml:space="preserve">Bi-Weekly housekeeping; Laundry service available</t>
  </si>
  <si>
    <t xml:space="preserve">Fitness center; Rehab facilities</t>
  </si>
  <si>
    <t xml:space="preserve">Wesley Manor</t>
  </si>
  <si>
    <t xml:space="preserve">Methodist Retirement Community</t>
  </si>
  <si>
    <t xml:space="preserve">Louisville, KY</t>
  </si>
  <si>
    <t xml:space="preserve">60 villas (1325 – 1568 sq ft); 1 BR/1 Bath + Den &amp; 2 BR/2 Bath</t>
  </si>
  <si>
    <t xml:space="preserve">$515 for a 1BR/1Bath villa; Entrance Fee: $179K (70% refundable) | $547 - $578 for a 2BR/2Bath villa; Entrance Fee: $189K - $204K; (70% refundable)</t>
  </si>
  <si>
    <t xml:space="preserve">Community garden</t>
  </si>
  <si>
    <t xml:space="preserve">Meal options</t>
  </si>
  <si>
    <t xml:space="preserve">Rehab facilities</t>
  </si>
  <si>
    <t xml:space="preserve">24/7 Emergency response system</t>
  </si>
  <si>
    <t xml:space="preserve">Property taxes &amp; insurance (excluding renter’s insurance); Water, sewer, garbage, and recycling services</t>
  </si>
  <si>
    <t xml:space="preserve">Traditions at Beaumont</t>
  </si>
  <si>
    <t xml:space="preserve">32 villas (1567 sq ft; all 2BR/1.5Bath)</t>
  </si>
  <si>
    <t xml:space="preserve">Meal plans available</t>
  </si>
  <si>
    <t xml:space="preserve">Fitness Center</t>
  </si>
  <si>
    <t xml:space="preserve">Forest Springs</t>
  </si>
  <si>
    <t xml:space="preserve">Villas starting at $2409</t>
  </si>
  <si>
    <t xml:space="preserve">The Forum at Brookside</t>
  </si>
  <si>
    <t xml:space="preserve">108 villas (939 – 1117 sq ft); 2Bed/1 Bath, 2Bed/1.5 Bath, and 2Bed/1.5 Bath w/ Den options</t>
  </si>
  <si>
    <t xml:space="preserve">Bi-weekly housekeeping w/ flat linen service</t>
  </si>
  <si>
    <t xml:space="preserve">Physical therapy available</t>
  </si>
  <si>
    <t xml:space="preserve">Gated community</t>
  </si>
  <si>
    <t xml:space="preserve">Attached garage available; Private patio/sunroom</t>
  </si>
  <si>
    <t xml:space="preserve">1983</t>
  </si>
  <si>
    <t xml:space="preserve">The Willows at Springhurst</t>
  </si>
  <si>
    <t xml:space="preserve">majority SNF w/ AL/MC &amp; villas</t>
  </si>
  <si>
    <t xml:space="preserve">58 villas</t>
  </si>
  <si>
    <t xml:space="preserve">Meal options available</t>
  </si>
  <si>
    <t xml:space="preserve">Bi-monthly housekeeping; Laundry services available</t>
  </si>
  <si>
    <t xml:space="preserve">Rehab services available</t>
  </si>
  <si>
    <t xml:space="preserve">1979</t>
  </si>
  <si>
    <t xml:space="preserve">Episcopal Church Home</t>
  </si>
  <si>
    <t xml:space="preserve">Episcopal Diocese of Kentucky</t>
  </si>
  <si>
    <t xml:space="preserve">63 villas (1100 – 2400 sq ft)</t>
  </si>
  <si>
    <t xml:space="preserve">$1200 starting monthly rate w/ Entrance Fee of $224,000</t>
  </si>
  <si>
    <t xml:space="preserve">Meal programs available</t>
  </si>
  <si>
    <t xml:space="preserve">Attached garage; Private patio/porch</t>
  </si>
  <si>
    <t xml:space="preserve">Spring Hill Village</t>
  </si>
  <si>
    <t xml:space="preserve">Masonic Communities Kentucky</t>
  </si>
  <si>
    <t xml:space="preserve">92 villas</t>
  </si>
  <si>
    <t xml:space="preserve">Fitness center</t>
  </si>
  <si>
    <t xml:space="preserve">Water and sanitation services</t>
  </si>
  <si>
    <t xml:space="preserve">In-unit washer/dryer w/ laundry room; Attached garages</t>
  </si>
  <si>
    <t xml:space="preserve">1927</t>
  </si>
  <si>
    <t xml:space="preserve">The Villages at Historic Silvercrest</t>
  </si>
  <si>
    <t xml:space="preserve">New Albany, IN</t>
  </si>
  <si>
    <t xml:space="preserve">SNF majority w/ AL/MC &amp; villas</t>
  </si>
  <si>
    <t xml:space="preserve">$2019 for a 2 Bed/2 Bath villa</t>
  </si>
  <si>
    <t xml:space="preserve">Bi-weekly housekeeping; Laundry services available</t>
  </si>
  <si>
    <t xml:space="preserve">Rehab therapy available</t>
  </si>
  <si>
    <t xml:space="preserve">Attached garage; In-unit washer/dryer; Private Patio</t>
  </si>
  <si>
    <t xml:space="preserve">Opened 2014</t>
  </si>
  <si>
    <t xml:space="preserve">Azalea Hills</t>
  </si>
  <si>
    <t xml:space="preserve">Magnolia Health Systems</t>
  </si>
  <si>
    <t xml:space="preserve">Floyds Knobs, IN</t>
  </si>
  <si>
    <t xml:space="preserve">Rivercrest</t>
  </si>
  <si>
    <t xml:space="preserve">Club house</t>
  </si>
  <si>
    <t xml:space="preserve">Rehab therapy available; Fitness center</t>
  </si>
  <si>
    <t xml:space="preserve">Traditions at Hunter Station</t>
  </si>
  <si>
    <t xml:space="preserve">Sellersburg, IN</t>
  </si>
  <si>
    <t xml:space="preserve">Attached garages available; In-unit washer/dryer available</t>
  </si>
  <si>
    <t xml:space="preserve">Hearthstone Communities</t>
  </si>
  <si>
    <t xml:space="preserve">Woodstock, IL</t>
  </si>
  <si>
    <t xml:space="preserve">$3037 - $4229 for a villa home | Rental Only option Community Fee: $5200 | Entry Fee: $135,710 - $222,872 (EF monthly fee: $915 - $941)</t>
  </si>
  <si>
    <t xml:space="preserve">Sewer, water &amp; taxes</t>
  </si>
  <si>
    <t xml:space="preserve">Attached garage; In-unit Washer/Dryer</t>
  </si>
  <si>
    <t xml:space="preserve">Legacy Living Florence</t>
  </si>
  <si>
    <t xml:space="preserve">Family-owned</t>
  </si>
  <si>
    <t xml:space="preserve">Florence, KY</t>
  </si>
  <si>
    <t xml:space="preserve">28 villas (1239 – 2186 sq ft)</t>
  </si>
  <si>
    <t xml:space="preserve">$3879 for a one-bedroom villa | $4280 for a two-bedroom villa</t>
  </si>
  <si>
    <t xml:space="preserve">1 daily meal</t>
  </si>
  <si>
    <t xml:space="preserve">$25/hr for housekeeping</t>
  </si>
  <si>
    <t xml:space="preserve">Utilities; Cable</t>
  </si>
  <si>
    <t xml:space="preserve">Ken Witzgall</t>
  </si>
  <si>
    <t xml:space="preserve">PDF: Senior Living Cottages &amp; Independent Villas: The Rental Model (Curated, AI location-intelligence report)</t>
  </si>
  <si>
    <t xml:space="preserve">Generated Sept 15, 2026</t>
  </si>
  <si>
    <t xml:space="preserve">Rental Cottage / Villa Model — typical INCLUDED package (industry profile)</t>
  </si>
  <si>
    <t xml:space="preserve">n/a (multi-operator synthesis)</t>
  </si>
  <si>
    <t xml:space="preserve">U.S. (national profile)</t>
  </si>
  <si>
    <t xml:space="preserve">Standalone IL cottages/villas, pure rental (month-to-month or annual lease); 55+ active adult</t>
  </si>
  <si>
    <t xml:space="preserve">n/a</t>
  </si>
  <si>
    <t xml:space="preserve">Monthly rental fee $2,500 – $6,500+ (900 – 1,800+ sq ft; includes base maintenance, landscaping, basic cable/Wi-Fi, standard utilities) | One-time community/move-in fee $1,000 – $5,000 (non-refundable) | Second-person fee $500 – $1,000/mo | Rental cottages command a 15% – 30% premium over IL apartments ($2,200 – $4,500/mo)</t>
  </si>
  <si>
    <t xml:space="preserve">No (rental model; contrasts with $300,000+ CCRC entrance fees)</t>
  </si>
  <si>
    <t xml:space="preserve">Scheduled group shuttles for shopping and banking; medical transportation within a 10-mile radius</t>
  </si>
  <si>
    <t xml:space="preserve">On-campus classes and scheduled local academic lectures; full fitness center and indoor/outdoor pool access; social clubs and community-wide events</t>
  </si>
  <si>
    <t xml:space="preserve">Standard continental breakfast OR 1 chef-prepared meal per day (or a declining-balance dining card of $300/month)</t>
  </si>
  <si>
    <t xml:space="preserve">Bi-weekly light interior housekeeping</t>
  </si>
  <si>
    <t xml:space="preserve">Monthly wellness check-up (blood pressure, weight monitoring)</t>
  </si>
  <si>
    <t xml:space="preserve">24/7 wireless emergency responder system (pendant / pull cords)</t>
  </si>
  <si>
    <t xml:space="preserve">Full exterior maintenance (lawn care, snow removal); routine interior appliance and utility maintenance</t>
  </si>
  <si>
    <t xml:space="preserve">Standard utilities, basic cable/Wi-Fi, base maintenance and landscaping bundled into monthly rental fee</t>
  </si>
  <si>
    <t xml:space="preserve">See companion row for ancillary / à la carte fee menu</t>
  </si>
  <si>
    <t xml:space="preserve">Private residential footprints: porches, garages, yards; full kitchens; minimal shared walls</t>
  </si>
  <si>
    <t xml:space="preserve">AI-generated report (Curated platform) citing web sources; treat ranges as indicative market norms, not a specific operator. Strategic notes: decentralized cottages raise staff travel time for housekeeping/maintenance/emergency response; rental model shortens decision cycle and speeds lease-up.</t>
  </si>
  <si>
    <t xml:space="preserve">Rental Cottage / Villa Model — typical ANCILLARY / EXTRA-FEE menu (industry profile)</t>
  </si>
  <si>
    <t xml:space="preserve">Standalone IL cottages/villas, pure rental</t>
  </si>
  <si>
    <t xml:space="preserve">Pet deposit $250 – $500 plus $25 – $50/mo | Private care &amp; support $300 – $600/mo</t>
  </si>
  <si>
    <t xml:space="preserve">No (rental model)</t>
  </si>
  <si>
    <t xml:space="preserve">Medical transport beyond 10 miles ($2.50 – $4.00/mile or flat $25 – $50/trip); private on-demand car service ($30 – $60/hr); after-hours airport runs ($75 – $150/trip)</t>
  </si>
  <si>
    <t xml:space="preserve">Off-campus excursion tickets at cost ($20 – $100+); craft/art workshop materials ($10 – $30/class); personal training ($60 – $90/hr)</t>
  </si>
  <si>
    <t xml:space="preserve">Upgrade to full 3-meal plan ($600 – $900/mo); guest meals ($15 – $25/plate); villa meal-delivery fee ($5 – $10/meal)</t>
  </si>
  <si>
    <t xml:space="preserve">Weekly housekeeping upgrade (+$150 – $300/mo); deep cleaning ($40 – $60/hr); personal laundry &amp; linen ($20 – $35/load or $100 – $150/mo package)</t>
  </si>
  <si>
    <t xml:space="preserve">Medication management assistance ($300 – $600/mo); physical &amp; occupational therapy copays</t>
  </si>
  <si>
    <t xml:space="preserve">Replacement emergency pendant/fob ($100 – $150 one-time)</t>
  </si>
  <si>
    <t xml:space="preserve">Not listed as an extra-fee item (bundled in base)</t>
  </si>
  <si>
    <t xml:space="preserve">Pet deposit/rent ($250 – $500; $25 – $50/mo); private care &amp; support ($300 – $600/mo); specialized deep cleaning ($40 – $60/hr); laundry packages</t>
  </si>
  <si>
    <t xml:space="preserve">All items on this row are available at extra cost (à la carte).</t>
  </si>
  <si>
    <t xml:space="preserve">Scott Wood</t>
  </si>
  <si>
    <t xml:space="preserve">Email: service comparison table (Provincial/Discovery IL vs Integrated Senior Living TX)</t>
  </si>
  <si>
    <t xml:space="preserve">Email, Sept 2026</t>
  </si>
  <si>
    <t xml:space="preserve">Provincial / Discovery IL (villa or cottage residents)</t>
  </si>
  <si>
    <t xml:space="preserve">Discovery Senior Living (Provincial)</t>
  </si>
  <si>
    <t xml:space="preserve">Independent Living community with cottage/villa residents</t>
  </si>
  <si>
    <t xml:space="preserve">Transportation is the same as for community residents; 10-mile radius from the community</t>
  </si>
  <si>
    <t xml:space="preserve">Same as community residents</t>
  </si>
  <si>
    <t xml:space="preserve">Two meals included</t>
  </si>
  <si>
    <t xml:space="preserve">N/A (as reported)</t>
  </si>
  <si>
    <t xml:space="preserve">Reported by Scott Wood, VP Operations. "N/A" entered by the source for Wellness and Other Services.</t>
  </si>
  <si>
    <t xml:space="preserve">Integrated Senior Living (Texas)</t>
  </si>
  <si>
    <t xml:space="preserve">Integrated Senior Living</t>
  </si>
  <si>
    <t xml:space="preserve">Texas</t>
  </si>
  <si>
    <t xml:space="preserve">Not provided</t>
  </si>
  <si>
    <t xml:space="preserve">1 meal included; additional dining à la carte</t>
  </si>
  <si>
    <t xml:space="preserve">Jennifer Saxman</t>
  </si>
  <si>
    <t xml:space="preserve">Email: detached cottage / villa benchmarking table and narrative</t>
  </si>
  <si>
    <t xml:space="preserve">Cedarhurst of Frankfort – IL Cottages</t>
  </si>
  <si>
    <t xml:space="preserve">Cedarhurst Senior Living</t>
  </si>
  <si>
    <t xml:space="preserve">Frankfort (state not stated)</t>
  </si>
  <si>
    <t xml:space="preserve">IL Cottages (detached)</t>
  </si>
  <si>
    <t xml:space="preserve">Available</t>
  </si>
  <si>
    <t xml:space="preserve">Wellness programming and community activities</t>
  </si>
  <si>
    <t xml:space="preserve">Continental breakfast daily plus one three-course dinner weekly</t>
  </si>
  <si>
    <t xml:space="preserve">Every other week included</t>
  </si>
  <si>
    <t xml:space="preserve">Wellness programming</t>
  </si>
  <si>
    <t xml:space="preserve">Grounds, snow and ice care</t>
  </si>
  <si>
    <t xml:space="preserve">Utility bundle</t>
  </si>
  <si>
    <t xml:space="preserve">Dining, deep cleaning, pet care, carpet cleaning, handyman, home health/therapy</t>
  </si>
  <si>
    <t xml:space="preserve">From Saxman benchmarking table of detached / separate homes. VERIFIED, BUT READ IN FULL (Frankfort is in ILLINOIS): Cedarhurst does state its Cottages "operate separately from the Assisted Living and Memory Care neighborhoods and do not include the same all-inclusive services and amenities" — but that disclaimer covers the all-inclusive package and the dining model, and the SAME pages state cottage residents "will have access to the activity programs, therapy services, and transportation options already available at" the main community. An earlier draft of this analysis treated Cedarhurst as the strongest evidence that cottages get less transportation; that reading was wrong and has been withdrawn.</t>
  </si>
  <si>
    <t xml:space="preserve">Our Lady of Angels – Duplex Cottages</t>
  </si>
  <si>
    <t xml:space="preserve">Our Lady of Angels</t>
  </si>
  <si>
    <t xml:space="preserve">Duplex Cottages (limited independent model)</t>
  </si>
  <si>
    <t xml:space="preserve">Limited independent model</t>
  </si>
  <si>
    <t xml:space="preserve">Meals not provided</t>
  </si>
  <si>
    <t xml:space="preserve">Limited</t>
  </si>
  <si>
    <t xml:space="preserve">Security and emergency call system</t>
  </si>
  <si>
    <t xml:space="preserve">Water included; resident pays other utilities</t>
  </si>
  <si>
    <t xml:space="preserve">From Saxman benchmarking table of detached / separate homes. DATA-QUALITY FLAG (web research, Sept 2026): this community in Joliet, IL appears to have CLOSED in January 2023, and research indicates transportation was offered "on a cost basis". The "Not provided" label is therefore probably shorthand for "not included in the fee" rather than "did not exist". Verify before relying on this row.</t>
  </si>
  <si>
    <t xml:space="preserve">Included (limited)</t>
  </si>
  <si>
    <t xml:space="preserve">Hamilton Trace – Cottages</t>
  </si>
  <si>
    <t xml:space="preserve">CarDon &amp; Associates (per Lopez inventory)</t>
  </si>
  <si>
    <t xml:space="preserve">Fishers, IN (per Lopez inventory)</t>
  </si>
  <si>
    <t xml:space="preserve">Cottages</t>
  </si>
  <si>
    <t xml:space="preserve">Scheduled transportation included</t>
  </si>
  <si>
    <t xml:space="preserve">Community programming available</t>
  </si>
  <si>
    <t xml:space="preserve">Restaurant dining available separately</t>
  </si>
  <si>
    <t xml:space="preserve">Monthly wellness clinic</t>
  </si>
  <si>
    <t xml:space="preserve">Emergency response included</t>
  </si>
  <si>
    <t xml:space="preserve">Water/sewer included</t>
  </si>
  <si>
    <t xml:space="preserve">Dining, salon, unscheduled transportation, guest meals, laundry and concierge</t>
  </si>
  <si>
    <t xml:space="preserve">From Saxman benchmarking table of detached / separate homes. Also appears in Lopez inventory (cross-check row).</t>
  </si>
  <si>
    <t xml:space="preserve">Robin Run Village – Garden Homes</t>
  </si>
  <si>
    <t xml:space="preserve">Garden Homes</t>
  </si>
  <si>
    <t xml:space="preserve">Community activities included</t>
  </si>
  <si>
    <t xml:space="preserve">15 meals/month included; additional meals available</t>
  </si>
  <si>
    <t xml:space="preserve">Monthly housekeeping included</t>
  </si>
  <si>
    <t xml:space="preserve">Maintenance, lawn and snow</t>
  </si>
  <si>
    <t xml:space="preserve">Most utilities included</t>
  </si>
  <si>
    <t xml:space="preserve">Additional meals</t>
  </si>
  <si>
    <t xml:space="preserve">From Saxman benchmarking table of detached / separate homes.</t>
  </si>
  <si>
    <t xml:space="preserve">Wesley Village – Patio Homes</t>
  </si>
  <si>
    <t xml:space="preserve">Patio Homes</t>
  </si>
  <si>
    <t xml:space="preserve">Fitness, pool and community programming</t>
  </si>
  <si>
    <t xml:space="preserve">Complimentary weekday breakfast; additional dining available</t>
  </si>
  <si>
    <t xml:space="preserve">Additional/in-home assistance available</t>
  </si>
  <si>
    <t xml:space="preserve">Fitness, pool and wellness</t>
  </si>
  <si>
    <t xml:space="preserve">Maintenance and grounds</t>
  </si>
  <si>
    <t xml:space="preserve">Utilities, cable and trash included</t>
  </si>
  <si>
    <t xml:space="preserve">Additional dining and in-home assistance</t>
  </si>
  <si>
    <t xml:space="preserve">From Saxman benchmarking table of detached / separate homes. LOCATION FLAG: the 77-patio-home product is in Wilmore, KENTUCKY. A separate Wesley Village in Pittston, PA has "Brooks Estates" cottages. Possible name collision; confirm which community this row refers to.</t>
  </si>
  <si>
    <t xml:space="preserve">Garbry Ridge – Cottages</t>
  </si>
  <si>
    <t xml:space="preserve">Routine outings included</t>
  </si>
  <si>
    <t xml:space="preserve">Community outings and activities</t>
  </si>
  <si>
    <t xml:space="preserve">Meals available separately</t>
  </si>
  <si>
    <t xml:space="preserve">Wellness clinic available</t>
  </si>
  <si>
    <t xml:space="preserve">Lawn, landscaping and snow</t>
  </si>
  <si>
    <t xml:space="preserve">Gas, electric, water, sewer and trash</t>
  </si>
  <si>
    <t xml:space="preserve">Meals, therapy, wellness and salon</t>
  </si>
  <si>
    <t xml:space="preserve">From Saxman benchmarking table of detached / separate homes. VERIFIED, WITH A CORRECTION: the cottage page's base inclusions contain NO transportation, while the IL apartment list names "scheduled transportation" — so this label captured a real difference. But "routine outings to local and regional events" appears on BOTH the cottage and apartment pages, so it is a shared campus amenity rather than a cottage substitute, and the community home page separately advertises free doctor-visit transportation with no tier qualifier.</t>
  </si>
  <si>
    <t xml:space="preserve">Highgrove at Tates Creek – Detached Cottages</t>
  </si>
  <si>
    <t xml:space="preserve">Detached cottages, highly independent residential living (lighter service model)</t>
  </si>
  <si>
    <t xml:space="preserve">Housekeeping approx. $240/month (optional)</t>
  </si>
  <si>
    <t xml:space="preserve">Housekeeping available separately (approx. $240/month), not bundled</t>
  </si>
  <si>
    <t xml:space="preserve">Housekeeping offered as an optional add-on</t>
  </si>
  <si>
    <t xml:space="preserve">Narrative example: "lighter service structure." RESEARCH NOTE (Lexington, KY): Highgrove is the ONLY community in the transportation deep-dive found to publish days of operation - "Monday through Friday as well as transportation to Sunday church services". Its cottages are duplexes and quads rather than fully detached, which limits comparability.</t>
  </si>
  <si>
    <t xml:space="preserve">The Village at Bay Ridge</t>
  </si>
  <si>
    <t xml:space="preserve">Lighter cottage model</t>
  </si>
  <si>
    <t xml:space="preserve">May be available</t>
  </si>
  <si>
    <t xml:space="preserve">Activities may be available</t>
  </si>
  <si>
    <t xml:space="preserve">Meals optional</t>
  </si>
  <si>
    <t xml:space="preserve">Housekeeping and laundry optional</t>
  </si>
  <si>
    <t xml:space="preserve">Wellness may be available</t>
  </si>
  <si>
    <t xml:space="preserve">Meals, housekeeping and laundry remain optional</t>
  </si>
  <si>
    <t xml:space="preserve">Narrative example of a lighter model (transportation, activities or wellness may be available; meals, housekeeping and laundry can remain optional). RESEARCH NOTE: located in Traverse City, MICHIGAN (Heritage Senior Communities). Its community bus is offered "to all residents at no additional cost" and runs scheduled trips PLUS "many other destinations based on regular resident requests", so here the request-driven channel is also free. This is the clearest counter-example to the scheduled-free / unscheduled-paid pattern.</t>
  </si>
  <si>
    <t xml:space="preserve">Swanhaven Manor</t>
  </si>
  <si>
    <t xml:space="preserve">Narrative example of a lighter model (transportation, activities or wellness may be available; meals, housekeeping and laundry can remain optional). RESEARCH NOTE: located in Saginaw, MICHIGAN. Runs "regularly scheduled shopping trips in the complimentary Swanhaven Bus" to banks, groceries, shopping centres and restaurants. MEDICAL APPOINTMENTS ARE NOT NAMED, so transportation there is run as an activity programme rather than a medical-transport function.</t>
  </si>
  <si>
    <t xml:space="preserve">Smith Crossing – Villas (heavier bundled model)</t>
  </si>
  <si>
    <t xml:space="preserve">Smith Senior Living Communities (per Lopez inventory)</t>
  </si>
  <si>
    <t xml:space="preserve">Orland Park, IL (per Lopez inventory)</t>
  </si>
  <si>
    <t xml:space="preserve">Villas, bundled service model</t>
  </si>
  <si>
    <t xml:space="preserve">Transportation bundled</t>
  </si>
  <si>
    <t xml:space="preserve">Housekeeping bundled</t>
  </si>
  <si>
    <t xml:space="preserve">Wellness resources bundled</t>
  </si>
  <si>
    <t xml:space="preserve">Emergency response bundled</t>
  </si>
  <si>
    <t xml:space="preserve">Maintenance bundled</t>
  </si>
  <si>
    <t xml:space="preserve">Utilities bundled</t>
  </si>
  <si>
    <t xml:space="preserve">Bundles significantly more into the villa experience</t>
  </si>
  <si>
    <t xml:space="preserve">Narrative example at the bundled end of the spectrum. Also appears in Lopez inventory (cross-check row).</t>
  </si>
  <si>
    <t xml:space="preserve">Saxman research — overall takeaway (not a single community)</t>
  </si>
  <si>
    <t xml:space="preserve">Multi-market</t>
  </si>
  <si>
    <t xml:space="preserve">Detached cottage / villa / garden home / patio home products (fully independent residences)</t>
  </si>
  <si>
    <t xml:space="preserve">Fairly common</t>
  </si>
  <si>
    <t xml:space="preserve">Fairly common (programming)</t>
  </si>
  <si>
    <t xml:space="preserve">Varies considerably; often optional or at additional cost</t>
  </si>
  <si>
    <t xml:space="preserve">Most consistently observed: lawn care, landscaping, snow removal and home maintenance removed from resident</t>
  </si>
  <si>
    <t xml:space="preserve">Recommended operating structure: Base + Choice — include services that remove homeownership burden, then let residents add dining, housekeeping, personal transportation, laundry, concierge and other convenience services</t>
  </si>
  <si>
    <t xml:space="preserve">Saxman: "There is not one standard cottage service model." Detached cottage customer makes a proactive lifestyle decision, not a care-driven one; goal is to make independent living easier, not recreate traditional IL in a detached house.</t>
  </si>
  <si>
    <t xml:space="preserve">Synthesis — Cottage / Villa Service Offerings Across Four Sources</t>
  </si>
  <si>
    <t xml:space="preserve">All counts below are live formulas over the Consolidated Data tab (tier columns). Narrative cells summarize what each source reported.</t>
  </si>
  <si>
    <t xml:space="preserve">1. Service coverage by function — how often each function is reported</t>
  </si>
  <si>
    <t xml:space="preserve">Function</t>
  </si>
  <si>
    <t xml:space="preserve">Source</t>
  </si>
  <si>
    <t xml:space="preserve">n (rows)</t>
  </si>
  <si>
    <t xml:space="preserve">Any mention</t>
  </si>
  <si>
    <t xml:space="preserve">% any mention</t>
  </si>
  <si>
    <t xml:space="preserve">% included (of mentions)</t>
  </si>
  <si>
    <t xml:space="preserve">Reading note: Lopez rows are a web-researched inventory (Oct 2023) where "Not stated" usually means the community website did not list that service, not that it is absent. Saxman rows include the 6-community table plus narrative examples. Witzgall (2 model rows) and Wood (2 rows) are excluded from counts because they are not community-level inventories.</t>
  </si>
  <si>
    <t xml:space="preserve">2. Pricing snapshot</t>
  </si>
  <si>
    <t xml:space="preserve">Metric</t>
  </si>
  <si>
    <t xml:space="preserve">Value</t>
  </si>
  <si>
    <t xml:space="preserve">Source / basis</t>
  </si>
  <si>
    <t xml:space="preserve">Lopez: communities with a monthly fee reported</t>
  </si>
  <si>
    <t xml:space="preserve">Consolidated Data col K (parsed from reported pricing)</t>
  </si>
  <si>
    <t xml:space="preserve">Lopez: lowest reported monthly fee</t>
  </si>
  <si>
    <t xml:space="preserve">see note</t>
  </si>
  <si>
    <t xml:space="preserve">Lopez: median reported monthly fee (low end of each range)</t>
  </si>
  <si>
    <t xml:space="preserve">Consolidated Data col K, Lopez rows only</t>
  </si>
  <si>
    <t xml:space="preserve">Lopez: highest reported monthly fee</t>
  </si>
  <si>
    <t xml:space="preserve">Consolidated Data col L, Lopez rows only</t>
  </si>
  <si>
    <t xml:space="preserve">Lopez: communities confirmed to require an entry / entrance fee</t>
  </si>
  <si>
    <t xml:space="preserve">Consolidated Data col M</t>
  </si>
  <si>
    <t xml:space="preserve">Lopez: additional CCRCs where entry fee not stated</t>
  </si>
  <si>
    <t xml:space="preserve">Witzgall: typical rental cottage monthly fee</t>
  </si>
  <si>
    <t xml:space="preserve">$2,500 – $6,500+ per month</t>
  </si>
  <si>
    <t xml:space="preserve">Witzgall PDF, fee table (rental model; 900 – 1,800+ sq ft)</t>
  </si>
  <si>
    <t xml:space="preserve">Witzgall: one-time move-in / community fee</t>
  </si>
  <si>
    <t xml:space="preserve">$1,000 – $5,000 (non-refundable)</t>
  </si>
  <si>
    <t xml:space="preserve">Witzgall PDF</t>
  </si>
  <si>
    <t xml:space="preserve">Witzgall: second-person fee</t>
  </si>
  <si>
    <t xml:space="preserve">$500 – $1,000 per month</t>
  </si>
  <si>
    <t xml:space="preserve">Witzgall: rental cottage premium vs. IL apartment</t>
  </si>
  <si>
    <t xml:space="preserve">15% – 30% monthly premium over IL apartments of similar size ($2,200 – $4,500/mo)</t>
  </si>
  <si>
    <t xml:space="preserve">Witzgall PDF, strategic takeaways</t>
  </si>
  <si>
    <t xml:space="preserve">Witzgall: dining upgrade to 3 meals/day</t>
  </si>
  <si>
    <t xml:space="preserve">$600 – $900 per month</t>
  </si>
  <si>
    <t xml:space="preserve">Witzgall: weekly housekeeping upgrade</t>
  </si>
  <si>
    <t xml:space="preserve">+$150 – $300 per month over bi-weekly base</t>
  </si>
  <si>
    <t xml:space="preserve">Saxman: optional housekeeping (Highgrove at Tates Creek)</t>
  </si>
  <si>
    <t xml:space="preserve">approx. $240 per month</t>
  </si>
  <si>
    <t xml:space="preserve">Saxman email</t>
  </si>
  <si>
    <t xml:space="preserve">Lopez: à la carte housekeeping (Legacy Living Florence)</t>
  </si>
  <si>
    <t xml:space="preserve">$25 per hour</t>
  </si>
  <si>
    <t xml:space="preserve">Lopez inventory</t>
  </si>
  <si>
    <t xml:space="preserve">Note: Lopez min/median/max ranges reference rows 2–216 of Consolidated Data, which are exactly the Lopez rows (Witzgall, Wood and Saxman rows follow). Lopez monthly fees mix rental rates and CCRC monthly service fees that sit on top of an entrance fee (e.g., Wesley Manor $515/mo with a $179K entrance fee), so the low end understates rental-equivalent cost.</t>
  </si>
  <si>
    <t xml:space="preserve">3. What each source says, by function</t>
  </si>
  <si>
    <t xml:space="preserve">Laura Lopez — inventory of ~215 villa/cottage products (Midwest + TN/KY/OK)</t>
  </si>
  <si>
    <t xml:space="preserve">Ken Witzgall — rental cottage model profile</t>
  </si>
  <si>
    <t xml:space="preserve">Scott Wood — two operators</t>
  </si>
  <si>
    <t xml:space="preserve">Jennifer Saxman — detached cottage benchmarking</t>
  </si>
  <si>
    <t xml:space="preserve">Cross-source synthesis</t>
  </si>
  <si>
    <t xml:space="preserve">Listed at roughly a quarter of communities, and always as included when listed (scheduled community transportation). Never priced separately in the inventory.</t>
  </si>
  <si>
    <t xml:space="preserve">Included: scheduled group shuttles (shopping, banking) and medical transport within a 10-mile radius. Extras: beyond 10 miles ($2.50–$4.00/mile or $25–$50/trip), private car service ($30–$60/hr), airport runs ($75–$150).</t>
  </si>
  <si>
    <t xml:space="preserve">Provincial/Discovery: same as community residents, 10-mile radius. Integrated Senior Living: not provided.</t>
  </si>
  <si>
    <t xml:space="preserve">"Fairly common." 5 of 6 table communities include scheduled transportation or routine outings; Our Lady of Angels does not provide it. Unscheduled transportation appears as an à la carte item (Hamilton Trace).</t>
  </si>
  <si>
    <t xml:space="preserve">Scheduled/group transportation inside a ~10-mile radius is the norm and is treated as a base inclusion wherever cottage residents share the main campus. Personal or on-demand transportation is consistently an add-on. The 10-mile radius shows up independently in Witzgall and Wood.</t>
  </si>
  <si>
    <t xml:space="preserve">About a quarter of communities explicitly list campus amenity access (fitness, pool, chapel, theater, bistro, woodshop, etc.); when listed it is included. Newer rental products (Vitalia, Traditions) lean on clubhouse-style amenities.</t>
  </si>
  <si>
    <t xml:space="preserve">Included: on-campus classes/lectures, fitness center and pool access, social clubs and events. Extras: excursion tickets at cost, workshop materials ($10–$30), personal training ($60–$90/hr).</t>
  </si>
  <si>
    <t xml:space="preserve">Both operators: same as community residents.</t>
  </si>
  <si>
    <t xml:space="preserve">Programming is "fairly common"; all 6 table communities offer community activities/programming, ranging from "limited" (Our Lady of Angels) to fitness/pool/community programming (Wesley Village).</t>
  </si>
  <si>
    <t xml:space="preserve">Full access to the main community's programming and amenities is a universal, low-marginal-cost inclusion. Differentiation happens on outings, specialty classes and personal training, which are pay-per-use everywhere they are itemized.</t>
  </si>
  <si>
    <t xml:space="preserve">Only ~25% mention dining; roughly a third of those are optional or credit-based ("flexible meal allowance," "$490/$540/$600 monthly dining credit," "meal options available"). Included plans range from continental breakfast to 1 meal/day, 10–30 meals/month, or 3 meals/day (rare, usually AL-adjacent).</t>
  </si>
  <si>
    <t xml:space="preserve">Included: continental breakfast OR 1 chef-prepared meal/day, or a $300/month declining-balance card. Extras: 3-meal plan upgrade ($600–$900/mo), guest meals ($15–$25), villa delivery ($5–$10/meal).</t>
  </si>
  <si>
    <t xml:space="preserve">Provincial/Discovery: two meals included. Integrated Senior Living: 1 meal included, rest à la carte.</t>
  </si>
  <si>
    <t xml:space="preserve">"Varies considerably" and often optional/extra. Table spans meals not provided (Our Lady of Angels) → breakfast only (Wesley Village) → 15 meals/month (Robin Run) → breakfast plus one dinner weekly (Cedarhurst).</t>
  </si>
  <si>
    <t xml:space="preserve">Dining is the most variable function and the clearest place to tier. Cottages have full kitchens, so the market converges on a light base (breakfast or a modest declining-balance credit) with upgrade plans priced separately. Full meal plans belong at the top tier only.</t>
  </si>
  <si>
    <t xml:space="preserve">About a third mention housekeeping. Bi-weekly is the most common cadence, then weekly (often paired with flat-linen service, e.g., Five Star, Concordia OKC, Zarrow Pointe), then monthly "light" housekeeping (Twin Lakes/Twin Towers). Laundry service is occasionally included or "available."</t>
  </si>
  <si>
    <t xml:space="preserve">Included: bi-weekly light interior housekeeping. Extras: weekly upgrade (+$150–$300/mo), deep cleaning ($40–$60/hr), laundry &amp; linen ($20–$35/load or $100–$150/mo).</t>
  </si>
  <si>
    <t xml:space="preserve">Provincial/Discovery: weekly housekeeping. Integrated Senior Living: not provided.</t>
  </si>
  <si>
    <t xml:space="preserve">"Varies considerably." Every other week (Cedarhurst, Hamilton Trace), monthly (Robin Run, Garbry Ridge), included (Our Lady of Angels), or optional (~$240/mo at Highgrove; optional at Bay Ridge/Swanhaven).</t>
  </si>
  <si>
    <t xml:space="preserve">Bi-weekly housekeeping is the market midpoint; monthly or optional at the light end, weekly plus linen at the premium end. Housekeeping is the one service with a consistent, quotable upcharge across sources ($150–$300/mo for weekly; ~$240/mo when sold stand-alone).</t>
  </si>
  <si>
    <t xml:space="preserve">Rarely listed as a cottage-specific service; appears mostly as campus fitness/pool/wellness center access, on-site clinic or rehab "available," an annual health/wellness allowance (Twin Lakes), or free health-center days (Village at Germantown).</t>
  </si>
  <si>
    <t xml:space="preserve">Included: monthly wellness check-up (BP, weight). Extras: medication management ($300–$600/mo), PT/OT copays, replacement pendant ($100–$150).</t>
  </si>
  <si>
    <t xml:space="preserve">Both operators reported N/A.</t>
  </si>
  <si>
    <t xml:space="preserve">"Fairly common." Wellness programming or a monthly wellness clinic at 5 of 6; "limited" at Our Lady of Angels.</t>
  </si>
  <si>
    <t xml:space="preserve">Wellness is under-defined for cottages. The defensible base is campus fitness access plus a light-touch wellness clinic; clinical or care services (medication management, home health, therapy) are universally à la carte or third-party.</t>
  </si>
  <si>
    <t xml:space="preserve">The most frequently listed service after utilities and maintenance (~35%): emergency call/response systems or pendants, often with 24-hour security or gated entry at CCRCs.</t>
  </si>
  <si>
    <t xml:space="preserve">Included: 24/7 wireless emergency responder system (pendant/pull cords). Extra: replacement pendant/fob.</t>
  </si>
  <si>
    <t xml:space="preserve">Not addressed.</t>
  </si>
  <si>
    <t xml:space="preserve">"Fairly common." Emergency response/call systems included at 5 of 6 communities.</t>
  </si>
  <si>
    <t xml:space="preserve">An emergency response system is table stakes at every tier; 24-hour security or gated entry differentiates the premium end. Cost is low and it addresses the primary anxiety of detached living.</t>
  </si>
  <si>
    <t xml:space="preserve">The most common inclusion (~48%): "interior/exterior maintenance," "maintenance-free living," lawn care, snow removal, landscaping, grounds. Never priced separately.</t>
  </si>
  <si>
    <t xml:space="preserve">Included: full exterior maintenance (lawn, snow) and routine interior appliance/utility maintenance. The "completely maintenance-free environment" is called the core value proposition.</t>
  </si>
  <si>
    <t xml:space="preserve">"Most consistently observed": lawn, landscaping, snow removal and home maintenance are removed from the resident at every example.</t>
  </si>
  <si>
    <t xml:space="preserve">Unanimous across sources. Removing homeownership work is the product; interior and exterior maintenance must be included at every tier and never itemized.</t>
  </si>
  <si>
    <t xml:space="preserve">Most common line item (~55%). Ranges from water/sewer/trash only, to "all utilities except phone/cable/internet," to all utilities plus cable, Wi-Fi and phone. Entry-fee CCRCs frequently add property taxes and building insurance.</t>
  </si>
  <si>
    <t xml:space="preserve">Standard utilities, basic cable/Wi-Fi bundled into the monthly rental fee.</t>
  </si>
  <si>
    <t xml:space="preserve">"Fairly common." Ranges from water only (Our Lady of Angels) to full gas/electric/water/sewer/trash (Garbry Ridge) and utilities plus cable and trash (Wesley Village).</t>
  </si>
  <si>
    <t xml:space="preserve">Water/sewer/trash is the floor; a full utility bundle with cable and Wi-Fi is the mainstream expectation for a rental product; taxes/insurance are inherent to the ownership structure rather than a service choice.</t>
  </si>
  <si>
    <t xml:space="preserve">Occasional: 24/7 concierge (Five Star, Robinwood), "concierge services" (Provision, Edgewater), homecare/laundry "available," priority access to a sister campus, $25/hr housekeeping.</t>
  </si>
  <si>
    <t xml:space="preserve">Pet deposit/rent, private care &amp; support ($300–$600/mo), deep cleaning, laundry packages, guest meals, delivery fees — a deliberate ancillary revenue stream.</t>
  </si>
  <si>
    <t xml:space="preserve">Extensive menus at the better-run examples: dining, deep cleaning, pet care, carpet cleaning, handyman, home health/therapy, salon, unscheduled transportation, guest meals, laundry, concierge. Recommends a Base + Choice structure.</t>
  </si>
  <si>
    <t xml:space="preserve">A published à la carte menu is what separates a "better" cottage program from a "good" one. Saxman and Witzgall independently frame the same architecture: include what removes homeownership burden, sell convenience.</t>
  </si>
  <si>
    <t xml:space="preserve">4. Cross-source observations</t>
  </si>
  <si>
    <t xml:space="preserve">• There is no single standard cottage service model (Saxman), and the Lopez inventory confirms it: 215 products range from garage-and-washer/dryer-only to fully bundled CCRC villas.</t>
  </si>
  <si>
    <t xml:space="preserve">• The consistent core across all four sources is the removal of homeownership work: interior/exterior maintenance, lawn, snow, landscaping, plus base utilities and an emergency response system.</t>
  </si>
  <si>
    <t xml:space="preserve">• Dining and housekeeping are the two functions that vary most and are most often optional or priced separately; they are therefore the natural levers for tiering.</t>
  </si>
  <si>
    <t xml:space="preserve">• Transportation is generally a shared-campus inclusion within a ~10-mile radius (Witzgall, Wood, Saxman); personal or on-demand transportation is an add-on.</t>
  </si>
  <si>
    <t xml:space="preserve">• Witzgall's fee table gives a usable price architecture for add-ons (weekly housekeeping +$150–$300/mo; 3-meal plan $600–$900/mo; laundry $100–$150/mo; care/medication support $300–$600/mo) that is consistent with Saxman's ~$240/mo optional housekeeping and Lopez's $25/hr housekeeping example.</t>
  </si>
  <si>
    <t xml:space="preserve">• Rental cottages command a 15–30% premium over IL apartments and lease up faster because there is no entrance fee (Witzgall); ~30% of Lopez communities require an entrance fee, typically at CCRCs.</t>
  </si>
  <si>
    <t xml:space="preserve">• Wood's two operators show that even within one company family, service packages diverge (two meals plus weekly housekeeping vs. one meal and no housekeeping or transportation).</t>
  </si>
  <si>
    <t xml:space="preserve">• Operational caveat (Witzgall): spread-footprint cottages increase staff travel time for housekeeping, maintenance and emergency response; bundled services need routing discipline to protect margin.</t>
  </si>
  <si>
    <t xml:space="preserve">• Cross-check: Smith Crossing appears in both Lopez (Oct 2023 web listing shows only garage, washer/dryer, porch and campus amenities) and Saxman (described as bundling housekeeping, maintenance, utilities, transportation, emergency response and wellness). Saxman's later, direct research is the more complete picture; the Lopez entry reflects what the website advertised.</t>
  </si>
  <si>
    <t xml:space="preserve">• Data caveats: Lopez is an Oct 2023 web scrape ("Not stated" ≠ not offered; several entries flagged "none confirmed"); Witzgall is an AI-generated market profile, not an operator disclosure; Wood and Saxman are operator/consultant reports without dates or prices for most items.</t>
  </si>
  <si>
    <t xml:space="preserve">Recommended Service Offerings — Good / Better / Best, by Function</t>
  </si>
  <si>
    <t xml:space="preserve">One block per service function, with three rows each: GOOD, BETTER and BEST. Read a single row to see exactly what to offer at that level. The green / blue / orange bands mark the level. Columns E and F are shared across the three rows of a function, because the evidence and the price references apply to the whole function. Price is deliberately secondary: the unit price point will later decide which level fits which product, but the service content is the decision being made now. The detailed element-by-element breakdown behind these rows is on the "Service Elements" tab.</t>
  </si>
  <si>
    <t xml:space="preserve">Level</t>
  </si>
  <si>
    <t xml:space="preserve">Recommended service offering at this level</t>
  </si>
  <si>
    <t xml:space="preserve">How it is delivered</t>
  </si>
  <si>
    <t xml:space="preserve">Why these three levels — evidence from the four sources and the market research</t>
  </si>
  <si>
    <t xml:space="preserve">Price reference from the sources (secondary — for the later pricing step)</t>
  </si>
  <si>
    <t xml:space="preserve">Scheduled group shuttle on the community's existing routes (shopping, banking, groceries, worship) plus group outings. No individual appointment rides; residents are referred to third-party ride services, and the marketing says so plainly.</t>
  </si>
  <si>
    <t xml:space="preserve">Included in the base fee. Nothing else offered; residents are referred to third-party ride services and told so plainly.</t>
  </si>
  <si>
    <t xml:space="preserve">Research across ~50 communities, then a verification pass, found five distinct service models behind the single word (see the Transportation Detail tab). The mainstream is two-tier: scheduled trips free, off-schedule trips paid, verified at four communities. Cottage residents generally get the SAME service as apartment residents and occasionally better; an earlier draft concluded the opposite and was withdrawn on verification. Dialysis was never named by any community; wheelchair accessibility was claimed at exactly one.</t>
  </si>
  <si>
    <t xml:space="preserve">Witzgall is the only source in the project with prices: beyond-radius medical $2.50-$4.00/mile or $25-$50/trip; private car $30-$60/hr; airport $75-$150/trip. NOT ONE COMMUNITY IN THE MARKET RESEARCH PUBLISHED A DOLLAR RATE. Paid tiers are disclosed but priced only as "nominal", "a small fee", "for a fee", "at cost" or "flat fee", across at least three different mechanisms: per mile, flat fee, and an operator driver in an operator vehicle at an unstated rate.</t>
  </si>
  <si>
    <t xml:space="preserve">Scheduled group shuttle on set routes, plus individually scheduled medical-appointment rides on weekdays within a defined standard route or county, door-to-door. Group outings included. A posted rate covers trips beyond the area and unscheduled personal rides. Days, hours, booking lead time and the capacity rule are all published.</t>
  </si>
  <si>
    <t xml:space="preserve">Included in the base fee, plus a published price list for unscheduled, private and out-of-area trips.</t>
  </si>
  <si>
    <t xml:space="preserve">Everything at Better, delivered inside an all-inclusive fee, plus a monthly allowance of personal on-demand trips, an on-campus circulator between home and the clubhouse, escorted appointment service by arrangement, a stated dialysis and recurring-therapy policy, and concierge-booked airport runs.</t>
  </si>
  <si>
    <t xml:space="preserve">Included in the all-inclusive fee, with a monthly allowance of personal trips before posted rates apply.</t>
  </si>
  <si>
    <t xml:space="preserve">Full access to the main community's calendar, fitness center, pool and common areas on the same basis as apartment residents. Outings and ticketed events pay-per-use.</t>
  </si>
  <si>
    <t xml:space="preserve">Included in the base fee. Outings and ticketed events are pay-per-use.</t>
  </si>
  <si>
    <t xml:space="preserve">Every source treats campus programming as an inclusion ("same as community residents" at both Wood operators; included in Witzgall; present at all 6 Saxman communities). Only excursions, materials and personal training are ever priced.</t>
  </si>
  <si>
    <t xml:space="preserve">Excursion tickets at cost $20–$100+; workshop materials $10–$30/class; personal training $60–$90/hr (Witzgall).</t>
  </si>
  <si>
    <t xml:space="preserve">Full access to the main community calendar, fitness centre, pool and common areas, plus cottage-neighbourhood programming: block events, a resident council and a cottage liaison. Excursions and specialty classes are priced per use.</t>
  </si>
  <si>
    <t xml:space="preserve">Included in the base fee, plus cottage-specific programming. Excursions and classes priced.</t>
  </si>
  <si>
    <t xml:space="preserve">Full campus access and cottage-neighbourhood programming, plus concierge-booked excursions, specialty classes and personal training funded by a monthly enrichment credit, with priority registration for limited-seat events.</t>
  </si>
  <si>
    <t xml:space="preserve">Included in the all-inclusive fee, backed by an enrichment credit and concierge booking.</t>
  </si>
  <si>
    <t xml:space="preserve">No meal plan. Dining venues open to cottage residents at posted prices; a weekly continental breakfast or coffee social at the clubhouse; guest meals à la carte.</t>
  </si>
  <si>
    <t xml:space="preserve">Not in the fee. Venue access included; food bought at posted prices.</t>
  </si>
  <si>
    <t xml:space="preserve">Dining is the most variable function: 17 of 53 Lopez mentions are optional or credit-based; Saxman ranges from none to 15 meals/month; Wood shows 1 vs 2 meals; Witzgall's base is breakfast, 1 meal/day or a declining-balance card. Full kitchens make a heavy plan unnecessary for most buyers.</t>
  </si>
  <si>
    <t xml:space="preserve">Declining-balance credits observed: $300/mo (Witzgall), $490 (Lake Forest Place), $540 (Friendship Village Dublin), $600 (The Stratford) (Lopez). 3-meal upgrade $600–$900/mo; guest meals $15–$25; delivery $5–$10/meal (Witzgall).</t>
  </si>
  <si>
    <t xml:space="preserve">Daily continental breakfast plus a modest monthly declining-balance dining credit usable at any venue; optional meal plans (10, 15 or 30 meals/month) and villa delivery at posted prices.</t>
  </si>
  <si>
    <t xml:space="preserve">A monthly dining credit sits in the fee. Meal plans and delivery are optional add-ons at posted prices.</t>
  </si>
  <si>
    <t xml:space="preserve">Daily breakfast plus one chef-prepared meal per day (or 20–30 meals/month) included, with villa delivery and a guest-meal allowance included; 3-meal plan as an upgrade.</t>
  </si>
  <si>
    <t xml:space="preserve">Meals included in the all-inclusive fee, with delivery and a guest allowance; a larger plan is an upgrade.</t>
  </si>
  <si>
    <t xml:space="preserve">Not bundled. Housekeeping sold as a monthly subscription or hourly at a posted rate; deep clean à la carte.</t>
  </si>
  <si>
    <t xml:space="preserve">Not in the fee. Sold as a monthly subscription or hourly at a published rate.</t>
  </si>
  <si>
    <t xml:space="preserve">Bi-weekly is the most common included cadence in Lopez and is the Witzgall base; monthly or optional at the light end (Robin Run, Garbry Ridge, Highgrove, Integrated Senior Living none); weekly plus linen at the premium end (Five Star, Concordia OKC, Zarrow Pointe, Provincial/Discovery).</t>
  </si>
  <si>
    <t xml:space="preserve">Stand-alone: ~$240/mo (Saxman, Highgrove) or $25/hr (Lopez, Legacy Living Florence). Weekly upgrade over bi-weekly: +$150–$300/mo; deep clean $40–$60/hr (Witzgall).</t>
  </si>
  <si>
    <t xml:space="preserve">Bi-weekly light housekeeping included; weekly upgrade, linen, deep, carpet and window cleaning at posted prices.</t>
  </si>
  <si>
    <t xml:space="preserve">Bi-weekly included in the fee; weekly, linen and specialty cleaning at posted prices.</t>
  </si>
  <si>
    <t xml:space="preserve">Weekly housekeeping with flat-linen service included, plus an annual spring deep clean; specialty cleaning on request.</t>
  </si>
  <si>
    <t xml:space="preserve">Weekly with linen included in the all-inclusive fee; specialty cleaning on request.</t>
  </si>
  <si>
    <t xml:space="preserve">Laundry &amp; Linen</t>
  </si>
  <si>
    <t xml:space="preserve">In-unit washer/dryer (or hookups); no laundry service.</t>
  </si>
  <si>
    <t xml:space="preserve">Residence feature only (in-unit washer/dryer). No service.</t>
  </si>
  <si>
    <t xml:space="preserve">In-unit washer/dryer is near-universal in the Lopez inventory (a residence feature, not a service). Linen service rides with weekly housekeeping at the premium communities; laundry "available" at Trilogy campuses; Witzgall prices it as an add-on.</t>
  </si>
  <si>
    <t xml:space="preserve">Laundry &amp; linen $20–$35/load or $100–$150/mo package (Witzgall).</t>
  </si>
  <si>
    <t xml:space="preserve">In-unit washer/dryer plus optional personal laundry and linen service priced per load or as a monthly package.</t>
  </si>
  <si>
    <t xml:space="preserve">Residence feature plus an optional priced service.</t>
  </si>
  <si>
    <t xml:space="preserve">In-unit washer/dryer plus weekly flat-linen service included; personal laundry package at a discounted rate.</t>
  </si>
  <si>
    <t xml:space="preserve">Weekly flat-linen service included; personal laundry at a discounted rate.</t>
  </si>
  <si>
    <t xml:space="preserve">Fitness center and pool access; wellness programming on the community calendar; clinical services by referral.</t>
  </si>
  <si>
    <t xml:space="preserve">Included access to fitness and programming. Clinical services by referral only.</t>
  </si>
  <si>
    <t xml:space="preserve">Cottage-specific wellness is thin in Lopez (mostly campus access; occasional clinic/rehab "available"; Twin Lakes annual allowance; Village at Germantown 10 free health-center days). Witzgall includes a monthly check-up and prices care services; Saxman shows wellness clinics at 5 of 6; Wood reported N/A.</t>
  </si>
  <si>
    <t xml:space="preserve">Medication management $300–$600/mo; PT/OT at copay; personal training $60–$90/hr (Witzgall).</t>
  </si>
  <si>
    <t xml:space="preserve">Fitness centre, pool and wellness programming included, plus a monthly on-site wellness clinic and an opt-in daily check-in. Home health and therapy are coordinated on request at the provider's rates.</t>
  </si>
  <si>
    <t xml:space="preserve">Included access plus a monthly clinic and opt-in check-in. Clinical services coordinated at provider rates.</t>
  </si>
  <si>
    <t xml:space="preserve">Fitness, pool, programming, a monthly clinic and daily check-in, plus an annual wellness allowance or a set number of free health-centre days, and a wellness navigator who coordinates home care, therapy and medication management.</t>
  </si>
  <si>
    <t xml:space="preserve">Included, plus an annual wellness allowance and a navigator who coordinates care.</t>
  </si>
  <si>
    <t xml:space="preserve">24/7 monitored emergency call system (pendant or pull cords) answered by the main community.</t>
  </si>
  <si>
    <t xml:space="preserve">Included in the base fee. The floor at every level.</t>
  </si>
  <si>
    <t xml:space="preserve">Emergency response is the second most common Lopez inclusion (74 communities), included in the Witzgall base and at 5 of 6 Saxman communities. 24-hour security and gated entry appear at the CCRC/premium end. Witzgall flags slower response times on spread footprints.</t>
  </si>
  <si>
    <t xml:space="preserve">Replacement pendant/fob $100–$150 one-time (Witzgall); no recurring charge observed in any source.</t>
  </si>
  <si>
    <t xml:space="preserve">24/7 monitored emergency call system with a campus-wide mobile pendant that works outside the home, a dedicated 24-hour response protocol for the cottage neighbourhood, and an opt-in daily check-in.</t>
  </si>
  <si>
    <t xml:space="preserve">Included, with a wider device and a dedicated cottage response protocol.</t>
  </si>
  <si>
    <t xml:space="preserve">Monitored emergency call system and mobile pendant, plus gated or controlled entry, a 24-hour security presence, in-home sensors or fall detection, lock-and-leave home checks while travelling, and priority response routing for the cottages.</t>
  </si>
  <si>
    <t xml:space="preserve">Included, with gated entry, 24-hour presence and in-home technology.</t>
  </si>
  <si>
    <t xml:space="preserve">All exterior maintenance, lawn, landscaping, snow and ice, plus repair of community-owned appliances and systems; business-hours work orders with an emergency line.</t>
  </si>
  <si>
    <t xml:space="preserve">Included in the base fee. Never optional at any level.</t>
  </si>
  <si>
    <t xml:space="preserve">Unanimous: maintenance is the single most common Lopez inclusion (102 communities), the Witzgall "core value proposition," and Saxman's "most consistently observed" service. Never optional; the levels differ only in responsiveness and scope.</t>
  </si>
  <si>
    <t xml:space="preserve">Handyman appears only as an à la carte item (Cedarhurst, Saxman); no benchmark price in the sources.</t>
  </si>
  <si>
    <t xml:space="preserve">All exterior maintenance, lawn, landscaping, snow and ice, plus repair of community-owned appliances and systems. Adds 24-hour emergency maintenance and preventive interior work (filters, detectors, seasonal checks). Resident-requested handyman jobs at a posted rate.</t>
  </si>
  <si>
    <t xml:space="preserve">Included, with 24-hour emergency response and preventive work; resident-requested jobs at a posted rate.</t>
  </si>
  <si>
    <t xml:space="preserve">All exterior and interior maintenance with 24-hour emergency response and preventive work, plus included handyman hours each month, seasonal exterior services (gutters, power-washing, windows) and a scheduled interior refresh cycle for paint and carpet.</t>
  </si>
  <si>
    <t xml:space="preserve">Included, with monthly handyman hours, seasonal services and a scheduled interior refresh.</t>
  </si>
  <si>
    <t xml:space="preserve">Water, sewer, trash and recycling included; resident pays electric, gas, cable, internet and phone directly.</t>
  </si>
  <si>
    <t xml:space="preserve">Water, sewer and trash in the fee. Resident pays the rest directly.</t>
  </si>
  <si>
    <t xml:space="preserve">Utilities are the most common Lopez line item (118 communities) and span exactly these three levels. Witzgall bundles standard utilities and basic cable/Wi-Fi; Saxman ranges from water-only to full bundles.</t>
  </si>
  <si>
    <t xml:space="preserve">Bundled inside the monthly fee in every source; no separate utility pricing reported.</t>
  </si>
  <si>
    <t xml:space="preserve">All standard utilities (electric, gas, water, sewer, trash) plus basic cable and Wi-Fi bundled; phone optional.</t>
  </si>
  <si>
    <t xml:space="preserve">All standard utilities plus basic cable and Wi-Fi bundled into the fee.</t>
  </si>
  <si>
    <t xml:space="preserve">All utilities bundled into the fee — electric, gas, water, sewer, trash, basic cable and Wi-Fi — plus phone and a premium cable or streaming package. Property taxes and building insurance are carried by the community where the ownership structure creates them.</t>
  </si>
  <si>
    <t xml:space="preserve">Everything bundled, including phone and premium cable; taxes and insurance where the structure creates them.</t>
  </si>
  <si>
    <t xml:space="preserve">Concierge &amp; Convenience Services</t>
  </si>
  <si>
    <t xml:space="preserve">Business-hours front desk and a short posted price list (housekeeping, guest meals, pet fees).</t>
  </si>
  <si>
    <t xml:space="preserve">Business-hours desk included. A short posted price list for the few services offered.</t>
  </si>
  <si>
    <t xml:space="preserve">Saxman recommends Base + Choice explicitly and lists the fullest menus (Cedarhurst, Hamilton Trace). Witzgall structures the same items as an ancillary revenue stream. 24/7 concierge appears at Five Star and Robinwood in Lopez. Wood's operators reported nothing beyond meals, housekeeping and transport.</t>
  </si>
  <si>
    <t xml:space="preserve">Pet deposit $250–$500 plus $25–$50/mo; private care &amp; support $300–$600/mo (Witzgall). Other menu prices: see Housekeeping, Culinary, Transportation rows.</t>
  </si>
  <si>
    <t xml:space="preserve">A full published Base + Choice menu (housekeeping upgrades, laundry, dining plans, unscheduled transport, pet services, specialty cleaning, handyman, guest meals, salon, home-health referrals) billed on the monthly statement, with a shared cottage services coordinator and package pickup.</t>
  </si>
  <si>
    <t xml:space="preserve">Included desk and coordinator, plus a full published Base + Choice menu billed on the monthly statement.</t>
  </si>
  <si>
    <t xml:space="preserve">A full published Base + Choice menu billed on the monthly statement, plus 24/7 concierge, package delivery to the villa, vendor coordination, a dedicated cottage services coordinator, and a monthly convenience credit usable across the menu.</t>
  </si>
  <si>
    <t xml:space="preserve">Included 24/7 concierge and dedicated coordinator, plus a monthly convenience credit against the menu.</t>
  </si>
  <si>
    <t xml:space="preserve">Package view — what each level adds up to</t>
  </si>
  <si>
    <t xml:space="preserve">Element</t>
  </si>
  <si>
    <t xml:space="preserve">Always included (all levels)</t>
  </si>
  <si>
    <t xml:space="preserve">Interior/exterior maintenance, lawn, snow, landscaping; water/sewer/trash; 24/7 emergency call system; scheduled shuttle within ~10 miles; full campus programming and fitness access; in-unit washer/dryer; attached garage.</t>
  </si>
  <si>
    <t xml:space="preserve">Same</t>
  </si>
  <si>
    <t xml:space="preserve">À la carte only</t>
  </si>
  <si>
    <t xml:space="preserve">Bi-weekly included; weekly and linen priced</t>
  </si>
  <si>
    <t xml:space="preserve">Weekly with linen included; annual deep clean</t>
  </si>
  <si>
    <t xml:space="preserve">Dining</t>
  </si>
  <si>
    <t xml:space="preserve">Venue access; weekly breakfast social; pay as you go</t>
  </si>
  <si>
    <t xml:space="preserve">Daily breakfast plus dining credit; plans and delivery priced</t>
  </si>
  <si>
    <t xml:space="preserve">Daily breakfast plus 1 meal/day (or 20–30/month), delivery and guest allowance included</t>
  </si>
  <si>
    <t xml:space="preserve">Water/sewer/trash</t>
  </si>
  <si>
    <t xml:space="preserve">All utilities plus basic cable and Wi-Fi</t>
  </si>
  <si>
    <t xml:space="preserve">All utilities plus phone and premium cable; taxes/insurance where applicable</t>
  </si>
  <si>
    <t xml:space="preserve">Scheduled group shuttle and outings only; appointments referred out</t>
  </si>
  <si>
    <t xml:space="preserve">Plus weekday medical appointment rides, door-to-door, within a defined route or county; posted rates beyond; terms published</t>
  </si>
  <si>
    <t xml:space="preserve">Plus personal trip allowance, on-campus circulator, escorted appointments and airport runs</t>
  </si>
  <si>
    <t xml:space="preserve">Wellness &amp; safety</t>
  </si>
  <si>
    <t xml:space="preserve">Fitness access; emergency pendant; referrals</t>
  </si>
  <si>
    <t xml:space="preserve">Plus monthly clinic; opt-in check-in; mobile pendant; cottage response protocol</t>
  </si>
  <si>
    <t xml:space="preserve">Plus wellness allowance, navigator, gated/24-hr security, sensors, home checks</t>
  </si>
  <si>
    <t xml:space="preserve">Convenience</t>
  </si>
  <si>
    <t xml:space="preserve">Business-hours desk; short price list</t>
  </si>
  <si>
    <t xml:space="preserve">Full Base + Choice menu; shared coordinator; package pickup</t>
  </si>
  <si>
    <t xml:space="preserve">24/7 concierge; dedicated coordinator; delivery; vendor coordination; convenience credit</t>
  </si>
  <si>
    <t xml:space="preserve">Target buyer (per Saxman / Witzgall)</t>
  </si>
  <si>
    <t xml:space="preserve">Most independent downsizer who wants to stop mowing and keep costs visible</t>
  </si>
  <si>
    <t xml:space="preserve">Mainstream active adult who wants choices without a care-driven decision</t>
  </si>
  <si>
    <t xml:space="preserve">Buyer trading up from a CCRC villa or luxury rental who expects everything handled</t>
  </si>
  <si>
    <t xml:space="preserve">Closest benchmarks in the data</t>
  </si>
  <si>
    <t xml:space="preserve">Highgrove at Tates Creek; Village at Bay Ridge; Swanhaven Manor; Integrated Senior Living (TX); Tabor Hills; Vitalia rentals</t>
  </si>
  <si>
    <t xml:space="preserve">Witzgall rental profile; Hamilton Trace; Cedarhurst of Frankfort; Woodland Terrace; Cedarbrook of Northville; Provincial/Discovery IL</t>
  </si>
  <si>
    <t xml:space="preserve">Smith Crossing (per Saxman); Five Star Residences; The Stratford; Twin Lakes; Lake Forest Place; Concordia Life Plan (OKC); Zarrow Pointe</t>
  </si>
  <si>
    <t xml:space="preserve">Service Element Detail — every element, and whether it is Included, À la carte or Not offered at each level</t>
  </si>
  <si>
    <t xml:space="preserve">This is the detail behind the Good-Better-Best tab. Each row is one concrete service element. Green means included in the fee, amber means available at a posted price, grey means not offered. The market prevalence column shows how many of the 215 communities in the villa study mention that element, so each recommendation sits next to its competitive frequency.</t>
  </si>
  <si>
    <t xml:space="preserve">Service element</t>
  </si>
  <si>
    <t xml:space="preserve">GOOD</t>
  </si>
  <si>
    <t xml:space="preserve">BETTER</t>
  </si>
  <si>
    <t xml:space="preserve">BEST</t>
  </si>
  <si>
    <t xml:space="preserve">Market prevalence (villa study, n = 215)</t>
  </si>
  <si>
    <t xml:space="preserve">Who offers it in the data (Witzgall / Wood / Saxman / named communities)</t>
  </si>
  <si>
    <t xml:space="preserve">Design note</t>
  </si>
  <si>
    <t xml:space="preserve">Transportation  [detail on the Transportation Detail tab]</t>
  </si>
  <si>
    <t xml:space="preserve">Scheduled group shuttle to a published set of destinations</t>
  </si>
  <si>
    <t xml:space="preserve">—</t>
  </si>
  <si>
    <t xml:space="preserve">The one near-universal inclusion. Witzgall base; Provincial/Discovery (Wood); 5 of 6 Saxman communities; 55 Lopez communities; every operating model found in the research includes at least this.</t>
  </si>
  <si>
    <t xml:space="preserve">The floor at every tier. Run it on the main community's existing routes; no cottage-specific vehicle needed.</t>
  </si>
  <si>
    <t xml:space="preserve">Group outings and excursions to events</t>
  </si>
  <si>
    <t xml:space="preserve">Included with outing</t>
  </si>
  <si>
    <t xml:space="preserve">Included with outing, plus an annual outing credit</t>
  </si>
  <si>
    <t xml:space="preserve">Verified at Garbry Ridge, whose cottage page lists "routine outings to local and regional events" — though note the same phrase also appears on its apartment page, so it is a shared amenity rather than a cottage substitute. Laurel Lake runs free courtesy trips to "the symphony, theater and regional attractions"; Swanhaven runs outings as an activity programme</t>
  </si>
  <si>
    <t xml:space="preserve">Cheapest way to make a detached neighbourhood feel connected. Ticket cost stays separate.</t>
  </si>
  <si>
    <t xml:space="preserve">Individually scheduled medical-appointment rides</t>
  </si>
  <si>
    <t xml:space="preserve">Not offered (referred to third-party ride services)</t>
  </si>
  <si>
    <t xml:space="preserve">Included, weekdays</t>
  </si>
  <si>
    <t xml:space="preserve">Included, any day, with a stated dialysis and recurring-therapy policy</t>
  </si>
  <si>
    <t xml:space="preserve">THE line operators actually draw, and it is drawn OPERATOR-WIDE rather than against cottages. New Perspective states it "does not provide transportation to appointments" and only helps coordinate a rideshare, for apartment residents as much as cottage residents. At Garbry Ridge the cottage inclusions list omits transportation while the apartment list names it, the one such case found. DIALYSIS AND RECURRING THERAPY WERE NEVER NAMED BY ANY COMMUNITY RESEARCHED, despite being the heaviest real demand.</t>
  </si>
  <si>
    <t xml:space="preserve">The key decision. Excluding it is defensible for residents who still drive, but it must be said plainly or they will assume otherwise.</t>
  </si>
  <si>
    <t xml:space="preserve">Trips beyond the included area</t>
  </si>
  <si>
    <t xml:space="preserve">Not offered</t>
  </si>
  <si>
    <t xml:space="preserve">A la carte at a posted per-mile or per-trip rate</t>
  </si>
  <si>
    <t xml:space="preserve">A la carte at a posted rate, with named destination hospitals inside the included area</t>
  </si>
  <si>
    <t xml:space="preserve">NO COMMUNITY PUBLISHES A MILEAGE RADIUS. Two apparent exceptions were falsified on verification. Real boundaries are jurisdictional or vague: "There are charges for out of county rides" (verified), "local", a named-city limit, and one operator admitting to "a defined geographic area" without stating it. Witzgall is the only source in the project with prices.</t>
  </si>
  <si>
    <t xml:space="preserve">Consider defining a STANDARD ROUTE or a county rather than a radius. Both proved more workable in the market than a mileage line.</t>
  </si>
  <si>
    <t xml:space="preserve">Unscheduled / personal on-demand rides</t>
  </si>
  <si>
    <t xml:space="preserve">A la carte (per hour or per mile)</t>
  </si>
  <si>
    <t xml:space="preserve">Included allowance of personal trips per month, then a la carte</t>
  </si>
  <si>
    <t xml:space="preserve">Not itemized in Lopez inventory</t>
  </si>
  <si>
    <t xml:space="preserve">The mainstream two-tier model: free on the schedule, paid off it. Maple Knoll charges "a nominal per-mile fee" for its chauffeur; Laurel Lake, South Franklin Circle, Westminster Place, Friendship Village Dublin and Discovery all publish the same split. BUT Village at Bay Ridge makes request-driven trips free too, so this is an operator pricing choice, not a sector rule.</t>
  </si>
  <si>
    <t xml:space="preserve">The clearest place to build a Better tier, and the only attribute where a rate basis was found in the market.</t>
  </si>
  <si>
    <t xml:space="preserve">On-campus circulator (home to clubhouse, dining, fitness)</t>
  </si>
  <si>
    <t xml:space="preserve">Almost nobody draws this distinction in writing. Maple Knoll is the exception, separating an on-campus "Shuttle on Demand" from its off-campus chauffeur service; Ohio Living runs campus loop buses separately from off-campus routes.</t>
  </si>
  <si>
    <t xml:space="preserve">Specific to spread-out cottage sites, and more valuable there than a mileage radius. Answers "do I have to walk to the main building?"</t>
  </si>
  <si>
    <t xml:space="preserve">Level of assistance</t>
  </si>
  <si>
    <t xml:space="preserve">Curb-to-curb</t>
  </si>
  <si>
    <t xml:space="preserve">Door-to-door</t>
  </si>
  <si>
    <t xml:space="preserve">Escort into and through the appointment, by arrangement</t>
  </si>
  <si>
    <t xml:space="preserve">A real, marketable distinction almost nobody makes. Ohio Living sells it as a branded product: an "escorted personal driver service" whose driver will "escort you throughout your trip and business", at flat fees. Robin Run advertises "door-to-door services".</t>
  </si>
  <si>
    <t xml:space="preserve">A cheap way to differentiate the Best tier without adding vehicles.</t>
  </si>
  <si>
    <t xml:space="preserve">After-hours and airport runs</t>
  </si>
  <si>
    <t xml:space="preserve">A la carte</t>
  </si>
  <si>
    <t xml:space="preserve">A la carte, booked through concierge</t>
  </si>
  <si>
    <t xml:space="preserve">Airport was named by only ONE community in the entire research (Maple Knoll, via its chauffeur service). Witzgall prices after-hours runs separately.</t>
  </si>
  <si>
    <t xml:space="preserve">Low volume. Keep it a la carte at every tier.</t>
  </si>
  <si>
    <t xml:space="preserve">Villa / cottage eligibility</t>
  </si>
  <si>
    <t xml:space="preserve">Same service as apartment residents; central pickup point</t>
  </si>
  <si>
    <t xml:space="preserve">Same service, with pickup at the villa door</t>
  </si>
  <si>
    <t xml:space="preserve">Same service, with priority routing for the cottage neighbourhood</t>
  </si>
  <si>
    <t xml:space="preserve">VERIFIED FINDING, REVERSED FROM AN EARLIER DRAFT: cottage residents generally get the SAME service as apartment residents, and occasionally BETTER (Zarrow Pointe villas get a private car and driver; apartments get a plain shuttle). Across seven communities there were ZERO verified cases of a lesser cottage tier. What varies is whether the operator states the terms at all.</t>
  </si>
  <si>
    <t xml:space="preserve">Parity is the market norm, so matching it is table stakes. The opportunity is to STATE the terms explicitly, which almost nobody does, or to differentiate upward as Zarrow Pointe does.</t>
  </si>
  <si>
    <t xml:space="preserve">Published service terms (days, hours, lead time, capacity rule)</t>
  </si>
  <si>
    <t xml:space="preserve">Published at move-in</t>
  </si>
  <si>
    <t xml:space="preserve">Published, with 24-48 hour booking and a stated medical priority</t>
  </si>
  <si>
    <t xml:space="preserve">Published, with guaranteed medical seats and third-party overflow at community cost</t>
  </si>
  <si>
    <t xml:space="preserve">THE BIGGEST COMPETITIVE OPPORTUNITY IN THIS FUNCTION. After verification, across ~50 communities: ZERO published a mileage radius, ZERO published days of the week, ZERO published hours, ZERO published a booking lead time in hours, ZERO published a price for any paid tier, and ONE published a booking requirement ("You must sign up to go on the scheduled routes"). Wheelchair accessibility was claimed at exactly one community.</t>
  </si>
  <si>
    <t xml:space="preserve">Publishing plain terms would differentiate on transparency alone, at no operating cost.</t>
  </si>
  <si>
    <t xml:space="preserve">Access to main-community calendar, events, clubs and common areas</t>
  </si>
  <si>
    <t xml:space="preserve">42 of 215 Lopez communities mention it</t>
  </si>
  <si>
    <t xml:space="preserve">"Same as community residents" at both Wood operators; Witzgall base; all 6 Saxman; 52 Lopez communities</t>
  </si>
  <si>
    <t xml:space="preserve">Zero marginal cost; never withhold</t>
  </si>
  <si>
    <t xml:space="preserve">Fitness center, pool and wellness-center access</t>
  </si>
  <si>
    <t xml:space="preserve">48 of 215 Lopez communities mention it</t>
  </si>
  <si>
    <t xml:space="preserve">Witzgall base; Wesley Village, Cedarhurst (Saxman); Lopez campus-amenity lists</t>
  </si>
  <si>
    <t xml:space="preserve">Counted here and under Wellness</t>
  </si>
  <si>
    <t xml:space="preserve">Cottage-neighborhood programming (block events, resident council, cottage liaison)</t>
  </si>
  <si>
    <t xml:space="preserve">Not observed in the data; fills the gap Saxman notes between detached living and campus life</t>
  </si>
  <si>
    <t xml:space="preserve">Cheap way to make cottages feel like a neighborhood</t>
  </si>
  <si>
    <t xml:space="preserve">Off-campus excursions and ticketed events</t>
  </si>
  <si>
    <t xml:space="preserve">À la carte (at cost)</t>
  </si>
  <si>
    <t xml:space="preserve">Included (annual outing credit), then at cost</t>
  </si>
  <si>
    <t xml:space="preserve">0 of 215 Lopez communities mention it</t>
  </si>
  <si>
    <t xml:space="preserve">Witzgall ancillary ($ at cost); Garbry Ridge outings</t>
  </si>
  <si>
    <t xml:space="preserve">Credit, not unlimited</t>
  </si>
  <si>
    <t xml:space="preserve">Specialty classes and workshop materials</t>
  </si>
  <si>
    <t xml:space="preserve">À la carte</t>
  </si>
  <si>
    <t xml:space="preserve">Included (enrichment credit)</t>
  </si>
  <si>
    <t xml:space="preserve">12 of 215 Lopez communities mention it</t>
  </si>
  <si>
    <t xml:space="preserve">Witzgall ancillary</t>
  </si>
  <si>
    <t xml:space="preserve">Personal training / small-group instruction</t>
  </si>
  <si>
    <t xml:space="preserve">À la carte (discounted)</t>
  </si>
  <si>
    <t xml:space="preserve">2 of 215 Lopez communities mention it</t>
  </si>
  <si>
    <t xml:space="preserve">Third-party or campus trainer</t>
  </si>
  <si>
    <t xml:space="preserve">Priority registration and concierge booking for limited-seat events</t>
  </si>
  <si>
    <t xml:space="preserve">Not observed; Best-tier differentiator</t>
  </si>
  <si>
    <t xml:space="preserve">Access to all community dining venues at posted prices</t>
  </si>
  <si>
    <t xml:space="preserve">Included (access)</t>
  </si>
  <si>
    <t xml:space="preserve">26 of 215 list on-campus dining venues</t>
  </si>
  <si>
    <t xml:space="preserve">Good Samaritan Quincy, Hamilton Trace "restaurant dining available separately"; Wood Integrated (à la carte)</t>
  </si>
  <si>
    <t xml:space="preserve">Access is free; food is not</t>
  </si>
  <si>
    <t xml:space="preserve">Weekly breakfast social at clubhouse</t>
  </si>
  <si>
    <t xml:space="preserve">Included daily</t>
  </si>
  <si>
    <t xml:space="preserve">Included daily (plus Sunday brunch)</t>
  </si>
  <si>
    <t xml:space="preserve">6 of 215 Lopez communities mention it</t>
  </si>
  <si>
    <t xml:space="preserve">Crown Point Christian weekly; Legacies, Villa St. Benedict, Wesley Woods daily; Opus East Memphis brunch (Lopez); Wesley Village weekday breakfast (Saxman); Witzgall base option</t>
  </si>
  <si>
    <t xml:space="preserve">Lowest-cost daily touchpoint</t>
  </si>
  <si>
    <t xml:space="preserve">Declining-balance dining credit usable at any venue</t>
  </si>
  <si>
    <t xml:space="preserve">Included (modest monthly credit)</t>
  </si>
  <si>
    <t xml:space="preserve">Included (larger monthly credit or meal plan below)</t>
  </si>
  <si>
    <t xml:space="preserve">15 of 215 mention a dining credit, allowance or flexible plan</t>
  </si>
  <si>
    <t xml:space="preserve">Witzgall $300 card; Lake Forest Place, Friendship Village Dublin, The Stratford, Twin Lakes/Twin Towers "flexible meal allowance" (Lopez)</t>
  </si>
  <si>
    <t xml:space="preserve">Preferred over fixed meals because cottages have full kitchens</t>
  </si>
  <si>
    <t xml:space="preserve">Fixed meal plan (1 meal/day, or 10–30 meals/month)</t>
  </si>
  <si>
    <t xml:space="preserve">À la carte (optional plan)</t>
  </si>
  <si>
    <t xml:space="preserve">Included (1/day or 20–30/month)</t>
  </si>
  <si>
    <t xml:space="preserve">28 of 215 mention included meals or a meal plan</t>
  </si>
  <si>
    <t xml:space="preserve">Provincial/Discovery 2 meals, Integrated 1 meal (Wood); Robin Run 15/month (Saxman); Traditions 30/month, Silver Maples 10/month, Village at Germantown 20/month (Lopez); Witzgall 1/day base</t>
  </si>
  <si>
    <t xml:space="preserve">Best-tier core inclusion</t>
  </si>
  <si>
    <t xml:space="preserve">Full 3-meal plan</t>
  </si>
  <si>
    <t xml:space="preserve">À la carte upgrade</t>
  </si>
  <si>
    <t xml:space="preserve">Witzgall upgrade; Western Reserve Masonic, Silver Elm, Homestead Del City (Lopez, AL-adjacent)</t>
  </si>
  <si>
    <t xml:space="preserve">Only for care-adjacent buyers</t>
  </si>
  <si>
    <t xml:space="preserve">Guest meals</t>
  </si>
  <si>
    <t xml:space="preserve">Included (monthly guest allowance)</t>
  </si>
  <si>
    <t xml:space="preserve">Witzgall ancillary; Hamilton Trace (Saxman)</t>
  </si>
  <si>
    <t xml:space="preserve">Villa meal delivery</t>
  </si>
  <si>
    <t xml:space="preserve">À la carte (per-delivery fee)</t>
  </si>
  <si>
    <t xml:space="preserve">1 of 215 Lopez communities mention it</t>
  </si>
  <si>
    <t xml:space="preserve">Witzgall delivery fee; Holland Home Raybrook "daily meal delivery available" (Lopez)</t>
  </si>
  <si>
    <t xml:space="preserve">Delivery is a genuine cottage-specific service</t>
  </si>
  <si>
    <t xml:space="preserve">Private dining / catering for resident events</t>
  </si>
  <si>
    <t xml:space="preserve">À la carte (concierge-arranged)</t>
  </si>
  <si>
    <t xml:space="preserve">Not observed; hospitality norm</t>
  </si>
  <si>
    <t xml:space="preserve">Routine housekeeping subscription</t>
  </si>
  <si>
    <t xml:space="preserve">À la carte (monthly subscription or hourly)</t>
  </si>
  <si>
    <t xml:space="preserve">Included bi-weekly</t>
  </si>
  <si>
    <t xml:space="preserve">Included weekly</t>
  </si>
  <si>
    <t xml:space="preserve">68 of 215 mention housekeeping (any cadence)</t>
  </si>
  <si>
    <t xml:space="preserve">Highgrove ~optional (Saxman); Legacy Living $25/hr (Lopez); bi-weekly is the most common Lopez cadence and the Witzgall base; weekly at Five Star, Concordia OKC, Zarrow Pointe, Provincial/Discovery</t>
  </si>
  <si>
    <t xml:space="preserve">Cadence is the primary lever</t>
  </si>
  <si>
    <t xml:space="preserve">Upgrade to weekly cadence</t>
  </si>
  <si>
    <t xml:space="preserve">44 of 215 mention weekly housekeeping or cleaning</t>
  </si>
  <si>
    <t xml:space="preserve">Witzgall upgrade</t>
  </si>
  <si>
    <t xml:space="preserve">Flat-linen service (bed and bath)</t>
  </si>
  <si>
    <t xml:space="preserve">20 of 215 Lopez communities mention it</t>
  </si>
  <si>
    <t xml:space="preserve">Five Star, Wittenberg, Laurel Lake, Concordia OKC (Lopez); Witzgall ancillary</t>
  </si>
  <si>
    <t xml:space="preserve">Pairs naturally with weekly housekeeping</t>
  </si>
  <si>
    <t xml:space="preserve">Annual deep / spring clean</t>
  </si>
  <si>
    <t xml:space="preserve">Included once per year</t>
  </si>
  <si>
    <t xml:space="preserve">The Stratford "weekly and annual spring cleaning" (Lopez); Witzgall deep cleaning; Cedarhurst deep cleaning à la carte (Saxman)</t>
  </si>
  <si>
    <t xml:space="preserve">Carpet, window and specialty cleaning</t>
  </si>
  <si>
    <t xml:space="preserve">Cedarhurst carpet cleaning (Saxman); Witzgall deep cleaning rate</t>
  </si>
  <si>
    <t xml:space="preserve">Move-in / move-out turnover clean</t>
  </si>
  <si>
    <t xml:space="preserve">Included (turnover)</t>
  </si>
  <si>
    <t xml:space="preserve">Witzgall move-in fee covers prep</t>
  </si>
  <si>
    <t xml:space="preserve">Operational standard</t>
  </si>
  <si>
    <t xml:space="preserve">In-unit washer/dryer (or hookups)</t>
  </si>
  <si>
    <t xml:space="preserve">Included (residence feature)</t>
  </si>
  <si>
    <t xml:space="preserve">132 of 215 Lopez communities mention it</t>
  </si>
  <si>
    <t xml:space="preserve">Near-universal in Lopez inventory</t>
  </si>
  <si>
    <t xml:space="preserve">Feature, not a service; listed so the tiers are complete</t>
  </si>
  <si>
    <t xml:space="preserve">Personal laundry service (wash, dry, fold)</t>
  </si>
  <si>
    <t xml:space="preserve">À la carte (per load or monthly package)</t>
  </si>
  <si>
    <t xml:space="preserve">À la carte (discounted package)</t>
  </si>
  <si>
    <t xml:space="preserve">7 of 215 Lopez communities mention it</t>
  </si>
  <si>
    <t xml:space="preserve">Witzgall ancillary; Trilogy campuses "laundry service available"; American House Rochester Hills, Bridgeway (Lopez); Hamilton Trace (Saxman)</t>
  </si>
  <si>
    <t xml:space="preserve">Linen service</t>
  </si>
  <si>
    <t xml:space="preserve">See Housekeeping row</t>
  </si>
  <si>
    <t xml:space="preserve">Fitness, pool and wellness programming on the campus calendar</t>
  </si>
  <si>
    <t xml:space="preserve">49 of 215 mention fitness, pool or wellness access</t>
  </si>
  <si>
    <t xml:space="preserve">Witzgall base; 5 of 6 Saxman; Lopez campus lists</t>
  </si>
  <si>
    <t xml:space="preserve">Monthly on-site wellness clinic (blood pressure, weight, medication review)</t>
  </si>
  <si>
    <t xml:space="preserve">5 of 215 Lopez communities mention it</t>
  </si>
  <si>
    <t xml:space="preserve">Witzgall base; Hamilton Trace and Garbry Ridge monthly/available clinic (Saxman)</t>
  </si>
  <si>
    <t xml:space="preserve">Light-touch, nurse-led</t>
  </si>
  <si>
    <t xml:space="preserve">Daily check-in call or app check-in</t>
  </si>
  <si>
    <t xml:space="preserve">Included (opt-in)</t>
  </si>
  <si>
    <t xml:space="preserve">Attic Angel "optional daily check-in service" (Lopez)</t>
  </si>
  <si>
    <t xml:space="preserve">Also a safety feature</t>
  </si>
  <si>
    <t xml:space="preserve">Home health, therapy and rehab access</t>
  </si>
  <si>
    <t xml:space="preserve">Referral only</t>
  </si>
  <si>
    <t xml:space="preserve">Coordinated on request (third-party rates)</t>
  </si>
  <si>
    <t xml:space="preserve">Coordinated by a wellness navigator (third-party rates)</t>
  </si>
  <si>
    <t xml:space="preserve">20 of 215 mention therapy, rehab or home care (usually "available")</t>
  </si>
  <si>
    <t xml:space="preserve">Cedarhurst, Garbry Ridge, Wesley Village in-home assistance (Saxman); Trilogy, Kirby Pines rehab "available" (Lopez); Witzgall PT/OT copays</t>
  </si>
  <si>
    <t xml:space="preserve">Never bundled in any source</t>
  </si>
  <si>
    <t xml:space="preserve">Annual wellness allowance or free health-center days</t>
  </si>
  <si>
    <t xml:space="preserve">4 of 215 Lopez communities mention it</t>
  </si>
  <si>
    <t xml:space="preserve">Twin Lakes yearly allowance; Village at Germantown 10 free health-center days (Lopez)</t>
  </si>
  <si>
    <t xml:space="preserve">CCRC-style differentiator</t>
  </si>
  <si>
    <t xml:space="preserve">Medication management</t>
  </si>
  <si>
    <t xml:space="preserve">Care service; keep out of base at every level</t>
  </si>
  <si>
    <t xml:space="preserve">Personal training</t>
  </si>
  <si>
    <t xml:space="preserve">24/7 monitored emergency call system (pendant or pull cords)</t>
  </si>
  <si>
    <t xml:space="preserve">68 of 215 Lopez communities mention it</t>
  </si>
  <si>
    <t xml:space="preserve">74 Lopez communities; Witzgall base; 5 of 6 Saxman</t>
  </si>
  <si>
    <t xml:space="preserve">Table stakes</t>
  </si>
  <si>
    <t xml:space="preserve">Campus-wide mobile pendant (works outside the home)</t>
  </si>
  <si>
    <t xml:space="preserve">5 of 215 mention a wireless system or pendant specifically</t>
  </si>
  <si>
    <t xml:space="preserve">Witzgall "wireless" system; Traditions Reagan Park "emergency pendant" (Lopez)</t>
  </si>
  <si>
    <t xml:space="preserve">24-hour on-site staff response to the cottages</t>
  </si>
  <si>
    <t xml:space="preserve">Main-community response</t>
  </si>
  <si>
    <t xml:space="preserve">Included (dedicated response protocol)</t>
  </si>
  <si>
    <t xml:space="preserve">Included (priority routing for cottage neighborhood)</t>
  </si>
  <si>
    <t xml:space="preserve">18 of 215 mention 24-hour security or EMT presence</t>
  </si>
  <si>
    <t xml:space="preserve">Witzgall notes longer response times on spread footprints</t>
  </si>
  <si>
    <t xml:space="preserve">Design the route, not just the device</t>
  </si>
  <si>
    <t xml:space="preserve">Gated or controlled entry / 24-hour security patrol</t>
  </si>
  <si>
    <t xml:space="preserve">20 of 215 mention gated entry or security</t>
  </si>
  <si>
    <t xml:space="preserve">Traditions North Willow gated; Twin Lakes, Trezevant, Kirby Pines, Holy Cross 24-hr security (Lopez); Our Lady of Angels security (Saxman)</t>
  </si>
  <si>
    <t xml:space="preserve">Site-dependent</t>
  </si>
  <si>
    <t xml:space="preserve">In-home sensors / fall detection</t>
  </si>
  <si>
    <t xml:space="preserve">Not observed in sources; emerging standard</t>
  </si>
  <si>
    <t xml:space="preserve">Optional technology layer</t>
  </si>
  <si>
    <t xml:space="preserve">Lock-and-leave home checks while traveling</t>
  </si>
  <si>
    <t xml:space="preserve">Not observed; natural for a "proactive lifestyle" buyer (Saxman)</t>
  </si>
  <si>
    <t xml:space="preserve">Replacement pendant / fob</t>
  </si>
  <si>
    <t xml:space="preserve">Exterior maintenance, lawn care, landscaping, snow and ice removal</t>
  </si>
  <si>
    <t xml:space="preserve">103 of 215 Lopez communities mention it</t>
  </si>
  <si>
    <t xml:space="preserve">102 Lopez communities; Witzgall "core value proposition"; Saxman "most consistently observed"</t>
  </si>
  <si>
    <t xml:space="preserve">Never optional at any level</t>
  </si>
  <si>
    <t xml:space="preserve">Repair and replacement of community-owned appliances and systems</t>
  </si>
  <si>
    <t xml:space="preserve">Witzgall base; Pacific Springs "repairs" (Lopez)</t>
  </si>
  <si>
    <t xml:space="preserve">Work-order response</t>
  </si>
  <si>
    <t xml:space="preserve">Business hours plus emergency line</t>
  </si>
  <si>
    <t xml:space="preserve">24-hour emergency maintenance</t>
  </si>
  <si>
    <t xml:space="preserve">24-hour with priority response</t>
  </si>
  <si>
    <t xml:space="preserve">3 of 215 Lopez communities mention it</t>
  </si>
  <si>
    <t xml:space="preserve">Waunakee Valley, Touchmark "emergency maintenance" (Lopez)</t>
  </si>
  <si>
    <t xml:space="preserve">Preventive interior maintenance (filters, detectors, seasonal checks)</t>
  </si>
  <si>
    <t xml:space="preserve">87 of 215 mention interior maintenance; preventive scope not specified</t>
  </si>
  <si>
    <t xml:space="preserve">Witzgall "routine interior appliance and utility maintenance"</t>
  </si>
  <si>
    <t xml:space="preserve">Handyman for resident-requested work (hanging, assembly, small fixes)</t>
  </si>
  <si>
    <t xml:space="preserve">Included (set hours per month), then à la carte</t>
  </si>
  <si>
    <t xml:space="preserve">Cedarhurst handyman à la carte (Saxman)</t>
  </si>
  <si>
    <t xml:space="preserve">Seasonal extras (gutters, power-wash, window cleaning)</t>
  </si>
  <si>
    <t xml:space="preserve">Not itemized in sources; typical HOA-style service</t>
  </si>
  <si>
    <t xml:space="preserve">Interior refresh (paint, carpet)</t>
  </si>
  <si>
    <t xml:space="preserve">At turnover</t>
  </si>
  <si>
    <t xml:space="preserve">Scheduled cycle during tenancy</t>
  </si>
  <si>
    <t xml:space="preserve">Not itemized in sources</t>
  </si>
  <si>
    <t xml:space="preserve">Best-tier differentiator</t>
  </si>
  <si>
    <t xml:space="preserve">Water, sewer, trash and recycling</t>
  </si>
  <si>
    <t xml:space="preserve">104 of 215 mention water, sewer, trash or utilities</t>
  </si>
  <si>
    <t xml:space="preserve">Tabor Hills, Wilson Commons, Madonna Manor water/sewer/trash only; Our Lady of Angels water only (Saxman)</t>
  </si>
  <si>
    <t xml:space="preserve">Floor for every level</t>
  </si>
  <si>
    <t xml:space="preserve">Electric and gas</t>
  </si>
  <si>
    <t xml:space="preserve">Resident-paid</t>
  </si>
  <si>
    <t xml:space="preserve">70 of 215 mention electric, gas or "all utilities"</t>
  </si>
  <si>
    <t xml:space="preserve">"All utilities" at Traditions, Legacies, Oaks at Bartlett (Lopez); Garbry Ridge (Saxman); Witzgall standard utilities</t>
  </si>
  <si>
    <t xml:space="preserve">Basic cable and Wi-Fi</t>
  </si>
  <si>
    <t xml:space="preserve">77 of 215 Lopez communities mention it</t>
  </si>
  <si>
    <t xml:space="preserve">Witzgall base; Wesley Village cable (Saxman); many Lopez bundles</t>
  </si>
  <si>
    <t xml:space="preserve">Phone</t>
  </si>
  <si>
    <t xml:space="preserve">29 of 215 Lopez communities mention it</t>
  </si>
  <si>
    <t xml:space="preserve">Kirkland Crossings, Twin Lakes, Wesley Glen phone included (Lopez)</t>
  </si>
  <si>
    <t xml:space="preserve">Premium cable / streaming package</t>
  </si>
  <si>
    <t xml:space="preserve">Touchmark "expanded basic cable" (Lopez)</t>
  </si>
  <si>
    <t xml:space="preserve">Property taxes and building insurance (structure-dependent)</t>
  </si>
  <si>
    <t xml:space="preserve">Not applicable (rental)</t>
  </si>
  <si>
    <t xml:space="preserve">Included where the structure creates them</t>
  </si>
  <si>
    <t xml:space="preserve">26 of 215 Lopez communities mention it</t>
  </si>
  <si>
    <t xml:space="preserve">Frequent at entry-fee CCRCs: Three Pillars, Hillcrest, Twin Lakes, Wesley Manor (Lopez)</t>
  </si>
  <si>
    <t xml:space="preserve">Ownership-structure decision, not a service decision</t>
  </si>
  <si>
    <t xml:space="preserve">Front-desk assistance during business hours</t>
  </si>
  <si>
    <t xml:space="preserve">Standard at all communities</t>
  </si>
  <si>
    <t xml:space="preserve">Published à la carte menu with monthly-statement billing</t>
  </si>
  <si>
    <t xml:space="preserve">Included (short list)</t>
  </si>
  <si>
    <t xml:space="preserve">Included (full Base + Choice menu)</t>
  </si>
  <si>
    <t xml:space="preserve">Included (full menu)</t>
  </si>
  <si>
    <t xml:space="preserve">31 of 215 list at least one "available", "optional" or priced service</t>
  </si>
  <si>
    <t xml:space="preserve">Saxman Base + Choice recommendation; Cedarhurst, Hamilton Trace menus; Witzgall ancillary structure</t>
  </si>
  <si>
    <t xml:space="preserve">The menu itself is the "Better" product</t>
  </si>
  <si>
    <t xml:space="preserve">Cottage services coordinator (single point of contact)</t>
  </si>
  <si>
    <t xml:space="preserve">Included (shared)</t>
  </si>
  <si>
    <t xml:space="preserve">Included (dedicated)</t>
  </si>
  <si>
    <t xml:space="preserve">Not observed; addresses Witzgall's spread-footprint operating risk</t>
  </si>
  <si>
    <t xml:space="preserve">24/7 concierge</t>
  </si>
  <si>
    <t xml:space="preserve">10 of 215 Lopez communities mention it</t>
  </si>
  <si>
    <t xml:space="preserve">Five Star Residences, Robinwood (Lopez); Hamilton Trace concierge à la carte (Saxman)</t>
  </si>
  <si>
    <t xml:space="preserve">Package receipt and delivery to the villa</t>
  </si>
  <si>
    <t xml:space="preserve">Included (pickup at desk)</t>
  </si>
  <si>
    <t xml:space="preserve">Included (delivered)</t>
  </si>
  <si>
    <t xml:space="preserve">Vendor coordination (movers, tech help, contractors)</t>
  </si>
  <si>
    <t xml:space="preserve">Not observed in sources</t>
  </si>
  <si>
    <t xml:space="preserve">Pet services (deposit/rent; walking, sitting, pet care)</t>
  </si>
  <si>
    <t xml:space="preserve">Witzgall pet deposit/rent; Cedarhurst pet care (Saxman)</t>
  </si>
  <si>
    <t xml:space="preserve">Salon and spa</t>
  </si>
  <si>
    <t xml:space="preserve">9 of 215 Lopez communities mention it</t>
  </si>
  <si>
    <t xml:space="preserve">Hamilton Trace, Garbry Ridge (Saxman); many Lopez campuses</t>
  </si>
  <si>
    <t xml:space="preserve">Monthly convenience credit usable across the menu</t>
  </si>
  <si>
    <t xml:space="preserve">The Moorings $490 "discretionary dollar account" (Lopez) is the closest analogue</t>
  </si>
  <si>
    <t xml:space="preserve">Simple way to make Best feel all-inclusive</t>
  </si>
  <si>
    <t xml:space="preserve">Service structure (how the levels are packaged)</t>
  </si>
  <si>
    <t xml:space="preserve">Overall structure</t>
  </si>
  <si>
    <t xml:space="preserve">Base rent covers residence, maintenance, base utilities, emergency response, campus access; everything else à la carte</t>
  </si>
  <si>
    <t xml:space="preserve">Base plus a bundled mid-level service package (bi-weekly housekeeping, full utilities, dining credit, monthly clinic) with a transparent add-on menu</t>
  </si>
  <si>
    <t xml:space="preserve">Bundled all-inclusive service package (weekly housekeeping and linen, daily meal, all utilities, concierge, wellness allowance)</t>
  </si>
  <si>
    <t xml:space="preserve">Saxman "Base + Choice"; Witzgall included vs. ancillary split; Lopez spans all three</t>
  </si>
  <si>
    <t xml:space="preserve">Price mapping deferred to a later step</t>
  </si>
  <si>
    <t xml:space="preserve">Legend:</t>
  </si>
  <si>
    <t xml:space="preserve">Included in the fee</t>
  </si>
  <si>
    <t xml:space="preserve">À la carte — available at a posted price</t>
  </si>
  <si>
    <t xml:space="preserve">Not offered at this level</t>
  </si>
  <si>
    <t xml:space="preserve">Prevalence counts are keyword matches over the villa study amenity text. "0 of 215" means the element appears only in the Witzgall, Wood or Saxman material, or in none of the sources.</t>
  </si>
  <si>
    <t xml:space="preserve">Transportation — what the word actually means</t>
  </si>
  <si>
    <t xml:space="preserve">The villa study lists transportation at 55 communities. All 55 entries say only "Transportation" or "Transportation services". This tab breaks that word into the decisions it hides. It was built in two passes: a first research round across roughly 50 communities, then a VERIFICATION round that re-tested every important quote with exact-phrase and operator-domain-restricted probes. The verification round overturned several first-round findings, including the original headline. Where the two rounds disagree, the verified result is shown and the retraction is stated openly. Read Section F before quoting anything.</t>
  </si>
  <si>
    <t xml:space="preserve">A. How much detail each source actually gives</t>
  </si>
  <si>
    <t xml:space="preserve">What it says about transportation</t>
  </si>
  <si>
    <t xml:space="preserve">Detail level</t>
  </si>
  <si>
    <t xml:space="preserve">What it does not tell us</t>
  </si>
  <si>
    <t xml:space="preserve">Laura Lopez (215-community villa study)</t>
  </si>
  <si>
    <t xml:space="preserve">55 communities list transportation. 53 say exactly "Transportation"; 2 say "Transportation services". No entry gives any further detail.</t>
  </si>
  <si>
    <t xml:space="preserve">None beyond presence</t>
  </si>
  <si>
    <t xml:space="preserve">Cost, radius, trip purposes, days, hours, booking rules, vehicle, capacity limits, villa eligibility</t>
  </si>
  <si>
    <t xml:space="preserve">Ken Witzgall (rental model profile)</t>
  </si>
  <si>
    <t xml:space="preserve">Included: scheduled group shuttles for shopping and banking; medical transport within a 10-mile radius. Extra: beyond 10 miles ($2.50–$4.00/mile or $25–$50/trip), private on-demand car ($30–$60/hour), after-hours airport runs ($75–$150/trip).</t>
  </si>
  <si>
    <t xml:space="preserve">Highest of the four, and the ONLY source anywhere in this project with actual prices</t>
  </si>
  <si>
    <t xml:space="preserve">Days, hours, booking lead time, vehicle type, capacity rules, how the radius is measured</t>
  </si>
  <si>
    <t xml:space="preserve">Scott Wood (two operators)</t>
  </si>
  <si>
    <t xml:space="preserve">Provincial/Discovery: "the same as for community residents. 10-mile radius from the community." Integrated Senior Living (TX): "Not provided."</t>
  </si>
  <si>
    <t xml:space="preserve">Radius and eligibility only</t>
  </si>
  <si>
    <t xml:space="preserve">Cost, purposes, scheduling, what happens beyond the radius</t>
  </si>
  <si>
    <t xml:space="preserve">Jennifer Saxman (detached cottage benchmarking)</t>
  </si>
  <si>
    <t xml:space="preserve">Six labels: Available / Not provided / Scheduled transportation included / Included / Included / Routine outings included. Separately lists "unscheduled transportation" on Hamilton Trace's à la carte menu.</t>
  </si>
  <si>
    <t xml:space="preserve">Presence/absence, plus the most useful structural clue in any source</t>
  </si>
  <si>
    <t xml:space="preserve">Cost of the included service, radius, purposes, days, hours, booking rules</t>
  </si>
  <si>
    <t xml:space="preserve">Public marketing and directories (this research)</t>
  </si>
  <si>
    <t xml:space="preserve">Almost universally "scheduled transportation" and nothing more. Operators publish essentially no operational detail, and the directories that appear to supply it largely fabricate it.</t>
  </si>
  <si>
    <t xml:space="preserve">Low, repetitive, and in places actively misleading</t>
  </si>
  <si>
    <t xml:space="preserve">Radius, hours, lead time, vehicle, fees. These live in resident handbooks and front-desk booklets that are rarely posted.</t>
  </si>
  <si>
    <t xml:space="preserve">The bare "Transportation" in the villa study is not a gap in that document. It mirrors what the operators themselves publish. After a verification pass, the count of communities publishing a mileage radius is ZERO, publishing days of the week is ZERO, publishing a booking lead time in hours is ZERO, publishing a vehicle specification is effectively zero, and publishing a price for any paid tier is ZERO. Two apparent exceptions found in the first round were both traced to fabricated directory text.</t>
  </si>
  <si>
    <t xml:space="preserve">B. The service models actually found behind the one word</t>
  </si>
  <si>
    <t xml:space="preserve">These are genuinely different products. Deciding which one to build is the real transportation decision.</t>
  </si>
  <si>
    <t xml:space="preserve">#</t>
  </si>
  <si>
    <t xml:space="preserve">Model</t>
  </si>
  <si>
    <t xml:space="preserve">What the resident actually gets</t>
  </si>
  <si>
    <t xml:space="preserve">Cost structure</t>
  </si>
  <si>
    <t xml:space="preserve">Communities verified as using it</t>
  </si>
  <si>
    <t xml:space="preserve">Fit for a detached cottage product</t>
  </si>
  <si>
    <t xml:space="preserve">Free scheduled group shuttle only</t>
  </si>
  <si>
    <t xml:space="preserve">A bus or van on a fixed schedule to a fixed set of destinations. No individual rides. Often run by the activities team as a social programme rather than a transport function.</t>
  </si>
  <si>
    <t xml:space="preserve">Included; no paid tier offered or published</t>
  </si>
  <si>
    <t xml:space="preserve">Swanhaven Manor (the "complimentary Swanhaven Bus", trips to banks, groceries, shopping, restaurants; medical never named); American Senior Communities garden homes (one corporate sentence used verbatim at five properties)</t>
  </si>
  <si>
    <t xml:space="preserve">Good fit as a floor. Cheap, social, and matched to residents who still drive.</t>
  </si>
  <si>
    <t xml:space="preserve">Free scheduled trips plus a paid personal tier</t>
  </si>
  <si>
    <t xml:space="preserve">The scheduled shuttle is free. Individual, off-schedule or longer trips are bought separately.</t>
  </si>
  <si>
    <t xml:space="preserve">Two-tier, and disclosed as existing — but never priced</t>
  </si>
  <si>
    <t xml:space="preserve">VERIFIED AT FOUR communities: Maple Knoll ("a nominal per-mile fee" for a chauffeur who will take residents "anywhere they want to go"); Laurel Lake ("for a fee, residents may also engage the services of a Laurel Lake driver... using one of their fleet vehicles for personal trips"); South Franklin Circle ("offered with no charge... additional personal transportation is available for a small fee"); Ohio Living Breckenridge (charges out of county, flat-fee escorted service).</t>
  </si>
  <si>
    <t xml:space="preserve">THE MAINSTREAM MODEL and the natural Better tier. Note it uses at least three different pricing mechanisms: per mile, flat fee, and operator-driver-and-vehicle at an unstated rate.</t>
  </si>
  <si>
    <t xml:space="preserve">Medical-only, high service level</t>
  </si>
  <si>
    <t xml:space="preserve">No general shuttle benefit. Instead a private car and driver, for doctor appointments only.</t>
  </si>
  <si>
    <t xml:space="preserve">Included in the fee, but narrow in scope</t>
  </si>
  <si>
    <t xml:space="preserve">Zarrow Pointe villas: "Private Car and Driver for Doctor Appointments" appears as a discrete line item in the villa inclusions, in a list whose ordering was stable across four independent queries. The apartments get plain "Transportation to and from Doctor Appointments".</t>
  </si>
  <si>
    <t xml:space="preserve">A premium, differentiating option, and the ONE verified case anywhere of a villa product getting a BETTER service than the apartments.</t>
  </si>
  <si>
    <t xml:space="preserve">Fee-for-service throughout</t>
  </si>
  <si>
    <t xml:space="preserve">Rides are a billable service, charged to the resident statement. Sign-up required. Geography priced rather than bounded.</t>
  </si>
  <si>
    <t xml:space="preserve">Chargeable throughout; rates published only in an in-house booklet</t>
  </si>
  <si>
    <t xml:space="preserve">Ohio Living Breckenridge Village. Handbook, all verified: "There is a small fee for these services"; "There are charges for out of county rides"; "You must sign up to go on the scheduled routes"; and a branded escorted service, "Super Senior Transportation (SST) is an escorted personal driver service with flat fee charges", for residents "who need assistance throughout the appointment". Directories wrongly describe this community as covering transportation in the monthly fee.</t>
  </si>
  <si>
    <t xml:space="preserve">Viable for a Good tier if positioned honestly. Its virtue is transparency; its cost is that transportation then cannot be marketed as included.</t>
  </si>
  <si>
    <t xml:space="preserve">Outings included, appointments excluded OPERATOR-WIDE</t>
  </si>
  <si>
    <t xml:space="preserve">Group outings and events are covered. Medical and personal appointments are not provided to anyone; the community only helps coordinate a third-party ride.</t>
  </si>
  <si>
    <t xml:space="preserve">Outings included; appointments are the resident's own cost</t>
  </si>
  <si>
    <t xml:space="preserve">New Perspective Senior Living, verified operator FAQ: "New Perspective does not provide transportation to appointments; however, they do have a community van that is used to transport residents to events outside of the community... there may be commercial transportation options available for medical or other appointments, such as ride sharing programs, that they can assist in coordinating."</t>
  </si>
  <si>
    <t xml:space="preserve">Defensible and cheap. CRUCIAL CORRECTION: this exclusion applies to apartments too. At its Danville community the cottage inclusion list separately names "accessible bus transportation", so cottage residents are not singled out.</t>
  </si>
  <si>
    <t xml:space="preserve">C. The ten attributes that define a transportation offering, and the decision on each</t>
  </si>
  <si>
    <t xml:space="preserve">Attribute</t>
  </si>
  <si>
    <t xml:space="preserve">The question to answer</t>
  </si>
  <si>
    <t xml:space="preserve">What the research found (after verification)</t>
  </si>
  <si>
    <t xml:space="preserve">Service type</t>
  </si>
  <si>
    <t xml:space="preserve">Fixed-schedule group shuttle, individually scheduled appointment rides, or on-demand personal rides?</t>
  </si>
  <si>
    <t xml:space="preserve">Two or three distinct services are normally bundled under one word. Maple Knoll is the clearest, separating an on-campus "Shuttle on Demand" from an off-campus "Chauffeur Service". Ohio Living likewise runs campus loop buses separately from off-campus routes.</t>
  </si>
  <si>
    <t xml:space="preserve">Scheduled group shuttle only</t>
  </si>
  <si>
    <t xml:space="preserve">Group shuttle plus individually scheduled appointment rides</t>
  </si>
  <si>
    <t xml:space="preserve">Both, plus an on-demand personal tier and an on-campus circulator</t>
  </si>
  <si>
    <t xml:space="preserve">Trip purposes</t>
  </si>
  <si>
    <t xml:space="preserve">Which trips qualify? Medical, dialysis and therapy, groceries, shopping, banking, pharmacy, worship, group outings, personal errands, airport.</t>
  </si>
  <si>
    <t xml:space="preserve">The one well-covered attribute. Medical and shopping are near-universal. Banking and worship appear occasionally. DIALYSIS AND RECURRING THERAPY WERE NEVER NAMED BY ANY COMMUNITY, despite being operationally the heaviest demand. Airport appeared twice in the whole study.</t>
  </si>
  <si>
    <t xml:space="preserve">Groceries, shopping, banking, group outings</t>
  </si>
  <si>
    <t xml:space="preserve">Adds medical appointments, pharmacy, worship</t>
  </si>
  <si>
    <t xml:space="preserve">Adds personal errands, airport, and a stated dialysis/therapy policy</t>
  </si>
  <si>
    <t xml:space="preserve">Geographic radius</t>
  </si>
  <si>
    <t xml:space="preserve">How far is included, and what happens beyond?</t>
  </si>
  <si>
    <t xml:space="preserve">NO COMMUNITY PUBLISHES A MILEAGE RADIUS. Both apparent exceptions found in round one were falsified in round two: a "5 mile radius" claim was absent from the operator's own domain, and a hospital named as a shuttle destination turned out not to exist. Real boundaries are JURISDICTIONAL or VAGUE: "There are charges for out of county rides" (verified), "local", and one operator's own admission of "a defined geographic area" without publishing it. The 10-to-15-mile figure is an industry norm from third-party guidance, corroborated only by Witzgall and Wood.</t>
  </si>
  <si>
    <t xml:space="preserve">Within a named county or a defined standard route; nothing beyond</t>
  </si>
  <si>
    <t xml:space="preserve">That area included; beyond at a posted per-mile or per-trip rate</t>
  </si>
  <si>
    <t xml:space="preserve">A wider defined area, with named destination hospitals inside it</t>
  </si>
  <si>
    <t xml:space="preserve">Cost to the resident</t>
  </si>
  <si>
    <t xml:space="preserve">Free, bundled, or charged? Per trip, per mile, per hour, or monthly?</t>
  </si>
  <si>
    <t xml:space="preserve">Scheduled local trips are usually included, but NOT always: Ohio Living charges and bills to the resident statement. Where a paid tier exists it is consistently disclosed and consistently unpriced. NOT ONE COMMUNITY IN THE STUDY PUBLISHED A DOLLAR RATE. The universal vocabulary is "nominal", "small fee", "for a fee", "at cost", "flat fee". Witzgall remains the only source in the project with actual prices.</t>
  </si>
  <si>
    <t xml:space="preserve">Scheduled group trips included; nothing else offered</t>
  </si>
  <si>
    <t xml:space="preserve">Scheduled included; unscheduled, private and out-of-area at posted rates</t>
  </si>
  <si>
    <t xml:space="preserve">Scheduled included plus a monthly allowance of personal trips, then posted rates</t>
  </si>
  <si>
    <t xml:space="preserve">Days and hours</t>
  </si>
  <si>
    <t xml:space="preserve">Which days does each trip type run, and what hours?</t>
  </si>
  <si>
    <t xml:space="preserve">NO COMMUNITY PUBLISHES DAYS OF THE WEEK OR HOURS. The one community reported in round one as publishing days was falsified in round two; that claim is withdrawn. The only frequency statements that survive are coarse: a weekly grocery run (Maple Knoll), "regularly scheduled weekly/monthly courtesy trips" (Laurel Lake) and "weekly" (Friendship Village Kalamazoo). Ohio Living keeps its route sheets on paper at the front desk, which is why no schedule is findable online.</t>
  </si>
  <si>
    <t xml:space="preserve">Set days per purpose, weekdays only, published</t>
  </si>
  <si>
    <t xml:space="preserve">Set days per purpose plus medical any weekday, published</t>
  </si>
  <si>
    <t xml:space="preserve">Extended days including some weekend coverage; after-hours at a posted rate</t>
  </si>
  <si>
    <t xml:space="preserve">Booking and lead time</t>
  </si>
  <si>
    <t xml:space="preserve">How far ahead must a resident book, and through whom?</t>
  </si>
  <si>
    <t xml:space="preserve">Essentially never published. Ohio Living is the only community with any booking language, and both halves are verified: "You must sign up to go on the scheduled routes", with route sheets at the front desk, and "Advance notice is very helpful to accommodate your transportation needs" — which is explicitly SOFT, with no fixed hour requirement anywhere. Because nobody publishes a rule, this must be designed rather than inherited.</t>
  </si>
  <si>
    <t xml:space="preserve">Sign-up sheet at the desk; a stated notice period</t>
  </si>
  <si>
    <t xml:space="preserve">Concierge booking, 24–48 hours notice, confirmation given</t>
  </si>
  <si>
    <t xml:space="preserve">Concierge or app booking, short-notice accommodation where possible</t>
  </si>
  <si>
    <t xml:space="preserve">Capacity and priority</t>
  </si>
  <si>
    <t xml:space="preserve">What happens when demand exceeds the vehicle, and who gets priority?</t>
  </si>
  <si>
    <t xml:space="preserve">Not published anywhere. Targeted searching for "when space permits" style qualifiers across the detached-cottage set returned nothing, and the one detailed capacity claim round one found was falsified (see Section F). The nearest real language is an operator handbook warning that outings "may be cancelled for reasons including... severe or inclement weather and lack of interest".</t>
  </si>
  <si>
    <t xml:space="preserve">Space-permitting, medical prioritised, limits published</t>
  </si>
  <si>
    <t xml:space="preserve">Guaranteed medical seat; social trips space-permitting</t>
  </si>
  <si>
    <t xml:space="preserve">Guaranteed medical seat, with overflow covered by a third-party ride at community cost</t>
  </si>
  <si>
    <t xml:space="preserve">Vehicle and accessibility</t>
  </si>
  <si>
    <t xml:space="preserve">Bus, van, or car? Wheelchair accessible? How many?</t>
  </si>
  <si>
    <t xml:space="preserve">Rarely specified, and a staffing count claimed in round one was falsified in round two. Buses are named at several communities; Laurel Lake's paid tier notably uses "one of their fleet vehicles", an operator-owned car with an operator-employed driver rather than a rideshare handoff. WHEELCHAIR ACCESSIBILITY WAS CLAIMED AT EXACTLY ONE COMMUNITY in the whole study, in a cottage inclusion list naming "accessible bus transportation". Everywhere else it is unstated, which is a striking gap given the resident profile.</t>
  </si>
  <si>
    <t xml:space="preserve">Shared van or bus, accessible</t>
  </si>
  <si>
    <t xml:space="preserve">Bus for groups plus a car or van for appointments, accessible</t>
  </si>
  <si>
    <t xml:space="preserve">Adds a sedan for personal and private trips</t>
  </si>
  <si>
    <t xml:space="preserve">Curb-to-curb, door-to-door, or escorted into the appointment?</t>
  </si>
  <si>
    <t xml:space="preserve">A real, marketable distinction that almost nobody makes. Ohio Living sells it as a branded, flat-fee product: an "escorted personal driver service" for residents "who need assistance throughout the appointment". Robin Run advertises "door-to-door services". Everyone else is silent.</t>
  </si>
  <si>
    <t xml:space="preserve">Door-to-door with driver assistance</t>
  </si>
  <si>
    <t xml:space="preserve">Do detached-home residents get the same service as apartment residents?</t>
  </si>
  <si>
    <t xml:space="preserve">THE HEADLINE FINDING, AND IT REVERSED ON VERIFICATION. Cottage residents generally get the SAME service, occasionally better. See Section E.</t>
  </si>
  <si>
    <t xml:space="preserve">Same as apartment residents, stated explicitly; central pickup point</t>
  </si>
  <si>
    <t xml:space="preserve">Same, with pickup at the villa door</t>
  </si>
  <si>
    <t xml:space="preserve">Same, plus priority routing for the cottage neighbourhood</t>
  </si>
  <si>
    <t xml:space="preserve">D. Community evidence, after verification</t>
  </si>
  <si>
    <t xml:space="preserve">VERIFIED = an exact-phrase or operator-domain-restricted probe returned the operator's own page and reproduced the wording. LIKELY = reproduced consistently but not bindable by probe, often because the page is a PDF or a CMS page that is not phrase-indexed. FALSIFIED = the wording does not exist on the operator's site and appears only on directories. Even VERIFIED rows should get one confirming page load before external publication.</t>
  </si>
  <si>
    <t xml:space="preserve">Community</t>
  </si>
  <si>
    <t xml:space="preserve">Operator / villa product</t>
  </si>
  <si>
    <t xml:space="preserve">What the operator actually publishes</t>
  </si>
  <si>
    <t xml:space="preserve">Status</t>
  </si>
  <si>
    <t xml:space="preserve">Why it matters</t>
  </si>
  <si>
    <t xml:space="preserve">Ohio Living Breckenridge Village, OH</t>
  </si>
  <si>
    <t xml:space="preserve">Ohio Living; 73 Ranch Homes</t>
  </si>
  <si>
    <t xml:space="preserve">Resident handbooks, all verified: campus loop buses plus off-campus scheduled routes; "You must sign up to go on the scheduled routes", with bus route sheets at the front desk; "Advance notice is very helpful to accommodate your transportation needs" (explicitly soft, no fixed hours); and "Super Senior Transportation (SST) is an escorted personal driver service with flat fee charges", for residents "who need assistance throughout the appointment". Geographic rule: "There are charges for out of county rides."</t>
  </si>
  <si>
    <t xml:space="preserve">FEE-FOR-SERVICE. "There is a small fee for these services"; rides billed to the resident statement; SST at flat fees. Rates live in a transportation booklet that "is available at the front desk", deliberately not online.</t>
  </si>
  <si>
    <t xml:space="preserve">NOT PUBLISHED. Only four handbooks exist, all for apartment buildings. The 73 ranch homes have no handbook, so their terms are neither stated as the same nor as different. DO NOT ASSERT PARITY.</t>
  </si>
  <si>
    <t xml:space="preserve">VERIFIED (operator-domain probes recovered handbook text)</t>
  </si>
  <si>
    <t xml:space="preserve">THE MOST IMPORTANT CORRECTION to the assumption that transportation is an included amenity, and the richest operational detail in the study. Directories describe this community as covering transportation in the monthly fee. The handbook says otherwise.</t>
  </si>
  <si>
    <t xml:space="preserve">Maple Knoll Village, Cincinnati, OH</t>
  </si>
  <si>
    <t xml:space="preserve">Maple Knoll Communities; 142 villas, 135 apartments</t>
  </si>
  <si>
    <t xml:space="preserve">Two named services: "Shuttle on Demand", which is an ON-CAMPUS circulator, plus a weekly run to an area grocery store; and a "Chauffeur Service" covering "doctor appointments, the airport, and more", which will take residents "anywhere they want to go". Residents can also get assistance setting up transportation through Uber Health.</t>
  </si>
  <si>
    <t xml:space="preserve">Two-tier, and the only PER-MILE basis found anywhere: the campus shuttle and weekly grocery run are "a free service"; the chauffeur carries "a nominal per-mile fee". The rate itself is unpublished.</t>
  </si>
  <si>
    <t xml:space="preserve">Strong. Transportation sits on the independent living pages and the IL inventory is majority villa.</t>
  </si>
  <si>
    <t xml:space="preserve">VERIFIED, with two round-one claims withdrawn: a "three full-time bus drivers" staffing count returned zero results and is removed, and Uber Health is a referral rather than brokering.</t>
  </si>
  <si>
    <t xml:space="preserve">The most sophisticated model found. The on-campus versus off-campus split is a real product distinction almost nobody else draws in writing, and it is the most relevant one for a spread-out cottage site.</t>
  </si>
  <si>
    <t xml:space="preserve">Laurel Lake, Hudson, OH</t>
  </si>
  <si>
    <t xml:space="preserve">The Villas, 1,600–2,700+ sq ft</t>
  </si>
  <si>
    <t xml:space="preserve">Community FAQ: buses run "regularly scheduled weekly/monthly courtesy trips" and special events "like the symphony, theater and regional attractions". Additionally, "for a fee, residents may also engage the services of a Laurel Lake driver, using one of their fleet vehicles for personal trips."</t>
  </si>
  <si>
    <t xml:space="preserve">Two-tier. Courtesy trips free on a fixed weekly/monthly schedule; the paid tier is an operator-employed driver in an operator-owned vehicle, which is a different instrument from a rideshare referral. Fee amount unpublished.</t>
  </si>
  <si>
    <t xml:space="preserve">Likely but not explicit.</t>
  </si>
  <si>
    <t xml:space="preserve">VERIFIED (the paid-tier sentence was the single strongest phrase match in the whole verification round)</t>
  </si>
  <si>
    <t xml:space="preserve">The only community treating CULTURAL EXCURSIONS as a distinct free service line, so its free tier is broader than a grocery-run model.</t>
  </si>
  <si>
    <t xml:space="preserve">South Franklin Circle, Chagrin Falls, OH</t>
  </si>
  <si>
    <t xml:space="preserve">Judson Smart Living; 27 cottage homes, 16 garden homes</t>
  </si>
  <si>
    <t xml:space="preserve">Exact operator wording: "Scheduled transportation services to scheduled, local trips/appointments are offered with no charge; additional personal transportation is available for a small fee."</t>
  </si>
  <si>
    <t xml:space="preserve">Clean published two-tier. Fee amount not published. The qualifier "local" is doing real work and is undefined.</t>
  </si>
  <si>
    <t xml:space="preserve">Likely, since pricing covers independent living as a whole, but not stated.</t>
  </si>
  <si>
    <t xml:space="preserve">VERIFIED via operator-domain probe. Round one had the wording slightly wrong ("included at no charge"); the sentence above is the real one.</t>
  </si>
  <si>
    <t xml:space="preserve">The cleanest one-sentence statement of the mainstream two-tier model.</t>
  </si>
  <si>
    <t xml:space="preserve">Zarrow Pointe, Tulsa, OK</t>
  </si>
  <si>
    <t xml:space="preserve">Tulsa Jewish; The Villas (patio homes)</t>
  </si>
  <si>
    <t xml:space="preserve">The Villas included-services list, with ordering stable across four independent queries: "Monthly Meal Allowance, Weekly Light Housekeeping, Weekly Flat Linen Service, Weekly Lawn Maintenance, Expanded Basic Cable, PRIVATE CAR AND DRIVER FOR DOCTOR APPOINTMENTS, Scheduled Activities and Cultural Events, Health and Wellness Programs, Personal Fitness Assessments." The Apartments list the parallel item as plain "Transportation to and from Doctor Appointments".</t>
  </si>
  <si>
    <t xml:space="preserve">Included, but narrow: doctor appointments only.</t>
  </si>
  <si>
    <t xml:space="preserve">BETTER THAN THE APARTMENTS. The only verified case anywhere of a villa product receiving an upgraded transportation tier.</t>
  </si>
  <si>
    <t xml:space="preserve">VERIFIED (operator-domain probe)</t>
  </si>
  <si>
    <t xml:space="preserve">Proves a detached product can differentiate UPWARD on transportation. A private car for medical days suits residents who still drive but want help when it matters.</t>
  </si>
  <si>
    <t xml:space="preserve">The Village at Bay Ridge, Traverse City, MI</t>
  </si>
  <si>
    <t xml:space="preserve">Heritage Senior Communities; cottage-style homes with garages</t>
  </si>
  <si>
    <t xml:space="preserve">"The Village at Bay Ridge offers a convenient and fun Bay Ridge Community bus to all residents at no additional cost. The community bus takes regularly scheduled trips to various destinations and many other destinations based on regular resident requests." Destinations include the beach, the Farmer's Market and downtown shops.</t>
  </si>
  <si>
    <t xml:space="preserve">Everything free, including the request-driven trips.</t>
  </si>
  <si>
    <t xml:space="preserve">SAME. "all residents" is unqualified and the community contains both cottage-style homes and apartments.</t>
  </si>
  <si>
    <t xml:space="preserve">VERIFIED — the cleanest evidence in the whole study</t>
  </si>
  <si>
    <t xml:space="preserve">THE COUNTER-EXAMPLE to any assumption that unscheduled trips must be chargeable. Here the request-driven channel is free, which makes the paid tier an operator pricing choice rather than a sector rule.</t>
  </si>
  <si>
    <t xml:space="preserve">Woodland Terrace of Danville, IN</t>
  </si>
  <si>
    <t xml:space="preserve">New Perspective Senior Living; 50 cottage-style townhomes</t>
  </si>
  <si>
    <t xml:space="preserve">Operator FAQ: "New Perspective does not provide transportation to appointments; however, they do have a community van that is used to transport residents to events outside of the community. Additionally, there may be commercial transportation options available for medical or other appointments, such as ride sharing programs, that they can assist in coordinating." Separately, the Danville cottage inclusion list names "accessible bus transportation".</t>
  </si>
  <si>
    <t xml:space="preserve">Community outings included. Appointments not provided to anyone.</t>
  </si>
  <si>
    <t xml:space="preserve">SAME, once corrected. The appointment exclusion is OPERATOR-WIDE and applies to apartment residents equally; the cottage list separately names bus transportation.</t>
  </si>
  <si>
    <t xml:space="preserve">VERIFIED, but REFRAMED. Round one treated this as a cottage limitation. It is not.</t>
  </si>
  <si>
    <t xml:space="preserve">The only explicit SCOPE EXCLUSION found anywhere, and three directory sites flatly contradict it. Also the ONLY community in the entire study to claim an accessible vehicle.</t>
  </si>
  <si>
    <t xml:space="preserve">Cedarhurst of Frankfort, IL</t>
  </si>
  <si>
    <t xml:space="preserve">Cedarhurst Senior Living; 32 independent living cottages</t>
  </si>
  <si>
    <t xml:space="preserve">BOTH HALVES OF THE PARAGRAPH MATTER. First: "Cedarhurst Cottages operate separately from the Assisted Living and Memory Care neighborhoods and do not include the same all-inclusive services and amenities." But it continues, and a parallel sentence appears on cottage announcement pages in four locations with correct locality substitution: "Cottage residents will have access to the activity programs, therapy services, and TRANSPORTATION OPTIONS already available at Cedarhurst of [Frankfort]'s Assisted Living and Memory Care community."</t>
  </si>
  <si>
    <t xml:space="preserve">No Cedarhurst page prices transportation for cottages. The only priced extras named corporately are higher levels of care, salon services, pet accommodations and a one-time community fee.</t>
  </si>
  <si>
    <t xml:space="preserve">NEUTRAL, arguably PARITY. The disclaimer is about the all-inclusive package and the dining model, NOT about transportation, which the same pages affirmatively grant.</t>
  </si>
  <si>
    <t xml:space="preserve">VERIFIED for the disclaimer; LIKELY for the transportation-access sentence</t>
  </si>
  <si>
    <t xml:space="preserve">ROUND ONE READ THIS COMMUNITY AGAINST ITS OWN TEXT and made it the strongest evidence for a lesser cottage tier. It is not that. This correction is the main reason the headline reversed.</t>
  </si>
  <si>
    <t xml:space="preserve">Garbry Ridge, Piqua, OH</t>
  </si>
  <si>
    <t xml:space="preserve">HCF Management; 1,200 sq ft cottages, 2 bed / 2 bath</t>
  </si>
  <si>
    <t xml:space="preserve">The cottage page carries TWO lists. Base inclusions with the cottage: utilities, "Lawn care, landscaping and snow removal", "24 hour emergency call system" — WITH NO TRANSPORTATION OF ANY KIND. A second list of services available includes "routine outings to local and regional events". The independent living APARTMENT list separately contains "scheduled transportation". But the community HOME PAGE states, without any tier qualifier, that it "provides free transportation for doctor visits".</t>
  </si>
  <si>
    <t xml:space="preserve">Included items versus a separately available list. No prices published.</t>
  </si>
  <si>
    <t xml:space="preserve">THE ONE REMAINING CASE where a cottage list omits what an apartment list names. Narrower than round one claimed, and partly undercut by the home page.</t>
  </si>
  <si>
    <t xml:space="preserve">VERIFIED for the cottage list and the home-page sentence; LIKELY for the apartment list</t>
  </si>
  <si>
    <t xml:space="preserve">Round one framed this as cottages getting outings INSTEAD OF transportation. That is wrong: "routine outings" appears on BOTH the cottage and apartment pages, so it is a shared campus amenity. The honest formulation is that the cottage inclusions omit transportation while the apartment inclusions name it.</t>
  </si>
  <si>
    <t xml:space="preserve">Hamilton Trace, Fishers, IN</t>
  </si>
  <si>
    <t xml:space="preserve">CarDon &amp; Associates; The Reserve cottages</t>
  </si>
  <si>
    <t xml:space="preserve">"Unscheduled transportation" is genuine CarDon site language, appearing in a services list alongside "guest meals, personal laundry service, personal concierge service, beauty salon/barber services". It is CarDon corporate boilerplate used at roughly eight communities. Also: "Both apartment and cottage residences at The Reserve include the use of all amenities."</t>
  </si>
  <si>
    <t xml:space="preserve">THE EXTRA-COST LABEL IS NOT VERIFIED. No CarDon page states that unscheduled transportation is chargeable; one rendering puts scheduled and unscheduled transportation in the SAME list; no price appears anywhere, including in CarDon's independent living FAQ.</t>
  </si>
  <si>
    <t xml:space="preserve">SAME. Cottages differ by structure and payment plan only. No cottage-specific transportation carve-out exists.</t>
  </si>
  <si>
    <t xml:space="preserve">MIXED: the menu item is VERIFIED; the extra-cost inference is NOT</t>
  </si>
  <si>
    <t xml:space="preserve">The benchmarking table's "unscheduled transportation is à la carte" is half right. The item is real; its price status is an unverified inference that needs a phone call. The whole scheduled-free / unscheduled-paid thesis leans on this more than the evidence supports.</t>
  </si>
  <si>
    <t xml:space="preserve">Smith Crossing, Orland Park, IL</t>
  </si>
  <si>
    <t xml:space="preserve">Smith Senior Living; free-standing Villas</t>
  </si>
  <si>
    <t xml:space="preserve">"The monthly fee is all-inclusive, including all utilities, maintenance, housekeeping, dining plan, activities, amenities and scheduled transportation." Product confirmed: "You can select an elegant, free-standing Villa or a spacious one- or two-bedroom condo-style senior-living apartment."</t>
  </si>
  <si>
    <t xml:space="preserve">Included in an all-inclusive monthly fee.</t>
  </si>
  <si>
    <t xml:space="preserve">SAME. The all-inclusive statement is scoped to Independent Living as a whole, covering villas and apartments alike.</t>
  </si>
  <si>
    <t xml:space="preserve">LIKELY (reproduced across four queries; the long string is not phrase-indexed)</t>
  </si>
  <si>
    <t xml:space="preserve">The clearest bundled model. Its resident handbook has a Transportation section at page 33 that search could not surface, making it the single highest-value document to retrieve.</t>
  </si>
  <si>
    <t xml:space="preserve">Westminster Place, Evanston, IL</t>
  </si>
  <si>
    <t xml:space="preserve">Presbyterian Homes; 104 cottages and townhouses</t>
  </si>
  <si>
    <t xml:space="preserve">Actual operator wording: "scheduled transportation to shops, appointments, and other necessary places", named inside the comprehensive monthly fee. NO paid tier appears anywhere on the operator's site.</t>
  </si>
  <si>
    <t xml:space="preserve">Included in the monthly fee. No two-tier structure documented by the operator.</t>
  </si>
  <si>
    <t xml:space="preserve">Not differentiated, despite 104 cottages on a 40-acre campus.</t>
  </si>
  <si>
    <t xml:space="preserve">ROUND-ONE QUOTE FALSIFIED</t>
  </si>
  <si>
    <t xml:space="preserve">The round-one quote about fee-based transport "beyond the standard route" to "Northwestern Memorial Hospital-Evanston" was directory text. NO SUCH HOSPITAL EXISTS — the Evanston hospital is Endeavor Health Evanston Hospital, while Northwestern Memorial is a separate downtown Chicago institution. A plausible name fused from two real ones is a textbook fabrication signature. This community no longer supports the two-tier finding.</t>
  </si>
  <si>
    <t xml:space="preserve">Friendship Village of Dublin, OH</t>
  </si>
  <si>
    <t xml:space="preserve">Life Care Services; River Point Villas and detached villas</t>
  </si>
  <si>
    <t xml:space="preserve">Actual operator wording: "Using their fleet of licensed and insured vehicles, the transportation team takes residents to and from appointments, to the grocery store, on FVD field trips and to other activities organized by the Community Life department." Separately the site acknowledges "transportation to off-site medical appointments within a defined geographic area", without publishing the area.</t>
  </si>
  <si>
    <t xml:space="preserve">Bundled into the single LifeCare monthly fee. No paid off-schedule tier documented by the operator.</t>
  </si>
  <si>
    <t xml:space="preserve">Not differentiated.</t>
  </si>
  <si>
    <t xml:space="preserve">ROUND-ONE QUOTES FALSIFIED</t>
  </si>
  <si>
    <t xml:space="preserve">Both round-one quotes came from all-directory result sets and read as the generic "Complimentary Transportation / Transportation at Cost" checkbox pair rendered into prose. This community no longer supports the two-tier finding either. Note the operator DOES admit a geographic boundary exists while declining to state it.</t>
  </si>
  <si>
    <t xml:space="preserve">American Senior Communities (5 properties)</t>
  </si>
  <si>
    <t xml:space="preserve">Zionsville, Brownsburg, Coventry, Rosegate, Beech Grove; Garden Homes</t>
  </si>
  <si>
    <t xml:space="preserve">ONE SENTENCE USED VERBATIM ACROSS ALL FIVE: "Garden Home residents enjoy the company of their neighbors and opportunities to participate in a wide range of planned social activities, scheduled transportation to shopping, restaurants and appointments."</t>
  </si>
  <si>
    <t xml:space="preserve">"Free, scheduled transportation" and "complimentary" — marketing register, no fee schedule.</t>
  </si>
  <si>
    <t xml:space="preserve">YES, named. The benefit attaches to "Garden Home residents" by name at all five.</t>
  </si>
  <si>
    <t xml:space="preserve">VERIFIED (exact-phrase probe)</t>
  </si>
  <si>
    <t xml:space="preserve">ASC transportation is ONE corporate promise replicated five times, not five benchmarks. Treating the five as five data points double-counts. The trip list is also notably narrow and omits medical-first framing.</t>
  </si>
  <si>
    <t xml:space="preserve">Traditions Management (4 properties)</t>
  </si>
  <si>
    <t xml:space="preserve">Brookside, Reagan Park, Beaumont, Hunter Station; Garden Homes</t>
  </si>
  <si>
    <t xml:space="preserve">A two-tier asymmetry in templated corporate copy: garden homes get the bare noun, "...and transportation", while assisted living and memory care get a defined service, "scheduled transportation to medical appointments and outings". Hunter Station names transportation as a line item in the villa inclusion list; Beaumont extends it to independent living by name and mentions "a community bus... to scheduled weekly activities".</t>
  </si>
  <si>
    <t xml:space="preserve">Not published at any of the four.</t>
  </si>
  <si>
    <t xml:space="preserve">MIXED. Explicit at Hunter Station, named for IL at Beaumont, undefined at Brookside and Reagan Park.</t>
  </si>
  <si>
    <t xml:space="preserve">LIKELY (the templating itself was confirmed by probe)</t>
  </si>
  <si>
    <t xml:space="preserve">Traditions describes WHAT transportation does only for its higher-acuity tiers. For villa residents it lists the word and stops, which is the same flattening the villa study inherited. A separate probe of a sibling property produced an apparent 5-mile radius and weekly schedule that the operator's own domain did NOT confirm; that claim has been withdrawn.</t>
  </si>
  <si>
    <t xml:space="preserve">TLC Management (2 properties)</t>
  </si>
  <si>
    <t xml:space="preserve">Village at Hamilton Pointe; Village of Avon; garden homes and cottages</t>
  </si>
  <si>
    <t xml:space="preserve">TRANSPORTATION IS ABSENT FROM BOTH COMMUNITIES' OWN SITES. Services are "included in the monthly rent" but transportation is not among the enumerated inclusions. A third party describes only "setting up rides for doctor visits". At Avon, transportation appears on-site only as an ADMISSION CRITERION, describing what residents must be able to do independently.</t>
  </si>
  <si>
    <t xml:space="preserve">Not established.</t>
  </si>
  <si>
    <t xml:space="preserve">NOT FOUND. Should be logged as unverified, not as included.</t>
  </si>
  <si>
    <t xml:space="preserve">LIKELY on the absence</t>
  </si>
  <si>
    <t xml:space="preserve">Coordination is not provision. If a community only helps book a ride, recording "Transportation: included" in a benchmark materially overstates the benefit.</t>
  </si>
  <si>
    <t xml:space="preserve">Swanhaven Manor, Saginaw, MI</t>
  </si>
  <si>
    <t xml:space="preserve">Cottages with attached garages</t>
  </si>
  <si>
    <t xml:space="preserve">"regularly scheduled shopping trips in the complimentary Swanhaven Bus", with an Activity Coordinator planning trips to "banks, grocery stores, shopping centers, and favorite restaurants".</t>
  </si>
  <si>
    <t xml:space="preserve">Complimentary.</t>
  </si>
  <si>
    <t xml:space="preserve">Not found.</t>
  </si>
  <si>
    <t xml:space="preserve">LIKELY</t>
  </si>
  <si>
    <t xml:space="preserve">The ONLY community where MEDICAL APPOINTMENTS ARE NEVER NAMED. Transportation here is run as an activity programme, not a medical-transport function.</t>
  </si>
  <si>
    <t xml:space="preserve">Our Lady of Angels, Joliet, IL</t>
  </si>
  <si>
    <t xml:space="preserve">Duplex cottages</t>
  </si>
  <si>
    <t xml:space="preserve">Transportation "available to residents on a cost basis" and "optional transportation for errands and appointments".</t>
  </si>
  <si>
    <t xml:space="preserve">Chargeable, not included.</t>
  </si>
  <si>
    <t xml:space="preserve">UNRELIABLE (directory boilerplate), and the community CLOSED IN JANUARY 2023</t>
  </si>
  <si>
    <t xml:space="preserve">Two data-quality flags for the benchmarking table: the community is closed, and the "Not provided" label is probably shorthand for "not included in the fee" rather than "did not exist".</t>
  </si>
  <si>
    <t xml:space="preserve">Kirkland Crossings, Pewaukee, WI</t>
  </si>
  <si>
    <t xml:space="preserve">Presbyterian Homes &amp; Services; 22 townhomes</t>
  </si>
  <si>
    <t xml:space="preserve">Marketing says "complimentary transportation to shopping and outings". The operator's standard resident handbook says: "For some events, fees may be charged for cost of services such as transportation, tickets, or supplies" and outings "may be cancelled for reasons including, but not limited to, severe or inclement weather and lack of interest."</t>
  </si>
  <si>
    <t xml:space="preserve">Marketing says complimentary; the handbook reserves the right to charge.</t>
  </si>
  <si>
    <t xml:space="preserve">THE GAP BETWEEN MARKETING AND HANDBOOK IS ITSELF THE FINDING, and this is the best available language anywhere on cancellation and capacity risk.</t>
  </si>
  <si>
    <t xml:space="preserve">On the 10-mile radius in the source email: dedicated and domain-restricted searches across Discovery Senior Living's brands found NO published mileage limit on any Discovery transportation page. What Discovery standardises is a programme name, "Connections Transportation", and a scheduled-versus-off-schedule cost split, not a distance. The 10-mile figure is most likely real as local practice at that one community and consistent with the industry norm, but it should not be attributed to Discovery as a brand standard or extrapolated. A separate 5-mile radius found at a Traditions sibling property was also absent from that operator's own domain and has been withdrawn. The honest position is that mileage radii are used in operating practice and told to shoppers verbally, but are not published.</t>
  </si>
  <si>
    <t xml:space="preserve">E. Do cottage residents get the same transportation? — this conclusion REVERSED on verification</t>
  </si>
  <si>
    <t xml:space="preserve">ROUND ONE CONCLUDED: cottage residents do not reliably get the same transportation, and where it differs the cottage tier is lesser. THAT IS WITHDRAWN. On verification, across seven detached-cottage communities there were ZERO verified cases of a cottage product receiving a lesser transportation tier, ONE verified case of it receiving a BETTER tier, and four cases of parity. The corrected finding: detached-cottage and villa residents generally receive the SAME transportation as apartment residents at the same community, and occasionally better. What is genuinely unreliable is DISCLOSURE, not the benefit. The real service limits that exist are set at operator level and apply to apartments equally.</t>
  </si>
  <si>
    <t xml:space="preserve">Verdict</t>
  </si>
  <si>
    <t xml:space="preserve">Evidence</t>
  </si>
  <si>
    <t xml:space="preserve">Zarrow Pointe, Tulsa</t>
  </si>
  <si>
    <t xml:space="preserve">VILLA TIER IS BETTER</t>
  </si>
  <si>
    <t xml:space="preserve">Villa inclusions name "Private Car and Driver for Doctor Appointments"; apartments get plain "Transportation to and from Doctor Appointments".</t>
  </si>
  <si>
    <t xml:space="preserve">VERIFIED</t>
  </si>
  <si>
    <t xml:space="preserve">The Village at Bay Ridge, Traverse City</t>
  </si>
  <si>
    <t xml:space="preserve">PARITY, and generous</t>
  </si>
  <si>
    <t xml:space="preserve">Community bus "to all residents at no additional cost", covering both scheduled trips and destinations "based on regular resident requests".</t>
  </si>
  <si>
    <t xml:space="preserve">PARITY</t>
  </si>
  <si>
    <t xml:space="preserve">The appointment exclusion is operator-wide and applies to apartments too. The Danville cottage inclusion list separately names "accessible bus transportation".</t>
  </si>
  <si>
    <t xml:space="preserve">VERIFIED, reframed from round one</t>
  </si>
  <si>
    <t xml:space="preserve">Cedarhurst of Frankfort</t>
  </si>
  <si>
    <t xml:space="preserve">NEUTRAL, arguably PARITY</t>
  </si>
  <si>
    <t xml:space="preserve">The "operate separately" disclaimer covers the all-inclusive package and dining. The same pages state cottage residents "will have access to the activity programs, therapy services, and transportation options already available at" the main community.</t>
  </si>
  <si>
    <t xml:space="preserve">Disclaimer VERIFIED; access sentence LIKELY</t>
  </si>
  <si>
    <t xml:space="preserve">Smith Crossing, Orland Park</t>
  </si>
  <si>
    <t xml:space="preserve">One all-inclusive independent living fee naming scheduled transportation, spanning free-standing villas and apartments alike.</t>
  </si>
  <si>
    <t xml:space="preserve">Hamilton Trace, Fishers</t>
  </si>
  <si>
    <t xml:space="preserve">"Both apartment and cottage residences at The Reserve include the use of all amenities." No cottage-specific carve-out exists.</t>
  </si>
  <si>
    <t xml:space="preserve">Garbry Ridge, Piqua</t>
  </si>
  <si>
    <t xml:space="preserve">THE ONE POSSIBLE EXCEPTION</t>
  </si>
  <si>
    <t xml:space="preserve">The cottage inclusions list omits transportation entirely while the apartment list names "scheduled transportation". But "routine outings" appears on BOTH pages, and the home page advertises free doctor-visit transportation with no tier qualifier.</t>
  </si>
  <si>
    <t xml:space="preserve">Cottage list VERIFIED; the "lesser tier" reading is weakened</t>
  </si>
  <si>
    <t xml:space="preserve">Ohio Living Breckenridge</t>
  </si>
  <si>
    <t xml:space="preserve">UNKNOWN — do not assume either way</t>
  </si>
  <si>
    <t xml:space="preserve">Four handbooks exist, all for apartment buildings. The 73 ranch homes have none, so their terms are simply not published.</t>
  </si>
  <si>
    <t xml:space="preserve">Absence VERIFIED</t>
  </si>
  <si>
    <t xml:space="preserve">Touchmark, Silver Elm, Highgrove, TLC properties</t>
  </si>
  <si>
    <t xml:space="preserve">NOT ESTABLISHED</t>
  </si>
  <si>
    <t xml:space="preserve">Nothing distinguishes the detached product from the apartment product in either direction.</t>
  </si>
  <si>
    <t xml:space="preserve">NOT FOUND</t>
  </si>
  <si>
    <t xml:space="preserve">• What actually varies is DISCLOSURE. Operators very rarely state transportation terms separately for cottages, so a benchmarking table has to record "not stated" far more often than "different". Round one mistook that silence for a lesser benefit.</t>
  </si>
  <si>
    <t xml:space="preserve">• Where a real limit exists it is SCOPE-BASED AND COMMUNITY-WIDE, not a cottage carve-out. One operator excludes appointment transport for everybody. Another carves cottages out of its all-inclusive package while explicitly keeping transportation in.</t>
  </si>
  <si>
    <t xml:space="preserve">• The one direction that IS evidenced is upward. A villa product can differentiate by offering a private car and driver for medical days, which suits a resident who still drives but wants help when it matters.</t>
  </si>
  <si>
    <t xml:space="preserve">• Detached-home residents mostly still drive. Garages are a headline feature of nearly every villa product in the study, and public guidance notes residents commonly keep a car and mix driving with the shuttle. That argues for a light individual-ride benefit at the Good tier, not a heavy one.</t>
  </si>
  <si>
    <t xml:space="preserve">• The counter-risk is the spread footprint. The rental-model report warns that decentralised cottages raise staff travel time for transport and emergency response, so a door-to-door promise on a large site costs materially more than the same promise in a vertical building.</t>
  </si>
  <si>
    <t xml:space="preserve">• The unanswered practical question, which no operator addresses in writing: does the shuttle come to the villa door, or does the resident walk to the main building? On campuses of 37 to 72 acres that difference is the whole service. Only a sales counsellor can answer it.</t>
  </si>
  <si>
    <t xml:space="preserve">F. Research reliability — read before quoting anything on this tab</t>
  </si>
  <si>
    <t xml:space="preserve">Issue</t>
  </si>
  <si>
    <t xml:space="preserve">What happened</t>
  </si>
  <si>
    <t xml:space="preserve">What to do</t>
  </si>
  <si>
    <t xml:space="preserve">Community websites could not be opened</t>
  </si>
  <si>
    <t xml:space="preserve">This environment's network policy blocks direct page access to every external site, including through a headless browser, so all findings come from web-search result summaries written by a summarising model rather than from reading pages.</t>
  </si>
  <si>
    <t xml:space="preserve">Treat every quotation as a lead. Open one confirming page before any of this goes into an external deliverable.</t>
  </si>
  <si>
    <t xml:space="preserve">THE DISCRIMINATOR: operator-domain-restricted search</t>
  </si>
  <si>
    <t xml:space="preserve">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t>
  </si>
  <si>
    <t xml:space="preserve">Use both. A phrase that fails the bare probe AND fails domain restriction, while appearing on directories, is fabricated.</t>
  </si>
  <si>
    <t xml:space="preserve">Round one contained four fabricated findings, all of them plausible</t>
  </si>
  <si>
    <t xml:space="preserve">A detailed capacity description at one community returned zero matches. A "5 mile radius" and a weekly schedule at another were absent from the operator's domain. A named destination hospital turned out NOT TO EXIST, its name fused from two real Chicago-area institutions. A staffing count of "three full-time bus drivers" returned nothing. All four were the kind of specific operational detail a benchmarking study most wants.</t>
  </si>
  <si>
    <t xml:space="preserve">Distrust specificity that appears only in search summaries. The more useful the detail sounds, the harder it needs to be probed.</t>
  </si>
  <si>
    <t xml:space="preserve">The fabrications are systematically BIASED toward the paid tier</t>
  </si>
  <si>
    <t xml:space="preserve">Both demoted two-tier quotes were on the chargeable side. Directories emit fixed "Complimentary Transportation" and "Transportation at Cost" checkboxes, which summarisers then render into confident prose about free and paid tiers that the operator never wrote.</t>
  </si>
  <si>
    <t xml:space="preserve">Presume any two-tier claim sourced from a directory is boilerplate until re-probed on the operator's own domain. The reliable directory signal is the boring checkbox, never the prose.</t>
  </si>
  <si>
    <t xml:space="preserve">Directories contradicted operators three times, and the operator was right every time</t>
  </si>
  <si>
    <t xml:space="preserve">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t>
  </si>
  <si>
    <t xml:space="preserve">Trust handbooks and FAQs over directories and over marketing pages. Where they conflict, the handbook governs.</t>
  </si>
  <si>
    <t xml:space="preserve">The most concrete operational fact came from a resident review</t>
  </si>
  <si>
    <t xml:space="preserve">A family member wrote of one community: "shuttle buses that take you for no charge to doctor's appointments and even have occasional community activities that they take people to." That single sentence supplies vehicle type, cost, primary purpose and a frequency qualifier, none of which the operator publishes.</t>
  </si>
  <si>
    <t xml:space="preserve">Mine resident reviews for operational truth. They describe the service as used rather than as marketed.</t>
  </si>
  <si>
    <t xml:space="preserve">Negative findings are the strongest results here</t>
  </si>
  <si>
    <t xml:space="preserve">A summariser can fail to surface text that exists, but is unlikely to invent a page-level absence across many differently worded queries. The repeated "not published" results across roughly 50 communities are the study's most reliable conclusions, and verification made them stronger by removing the apparent exceptions.</t>
  </si>
  <si>
    <t xml:space="preserve">Rely on the pattern that nothing is published. Treat individual quotes as provisional.</t>
  </si>
  <si>
    <t xml:space="preserve">G. How to close the gaps — the detail exists, just not on marketing pages</t>
  </si>
  <si>
    <t xml:space="preserve">• Chase RESIDENT HANDBOOKS, disclosure statements and residence agreements, not amenity pages. Every genuinely concrete finding in this study came from a handbook or an operator FAQ. One operator posts a handbook for every community, which would yield an operator-level policy dataset.</t>
  </si>
  <si>
    <t xml:space="preserve">• Specific documents identified but not readable here: the Smith Crossing independent living resident handbook, whose Transportation section sits at page 33; a Westminster Place "Guide to Costs and Benefits" PDF, the likeliest place an actual paid-tier rate would appear; Zarrow Pointe's villa and apartment brochures, whose comparison would settle the villa-versus-apartment question; and Ohio Living Breckenridge's weekly newsletter PDFs, which carry actual trip listings with departure times.</t>
  </si>
  <si>
    <t xml:space="preserve">• Ask Ohio Living Breckenridge for the transportation booklet "available at the front desk", named in its handbooks as the document holding the rates, and for a ranch-home equivalent. Its transportation department extension and sign-up line are published.</t>
  </si>
  <si>
    <t xml:space="preserve">• Mystery-shop for prices. Not one community in the entire study published a transportation price of any kind. The paid tier is consistently disclosed as existing and its price consistently withheld, so rates must come from sales offices.</t>
  </si>
  <si>
    <t xml:space="preserve">• Settle the Hamilton Trace question by phone. "Unscheduled transportation" is verified as a real menu item, but whether it carries a charge is an unverified inference, and the scheduled-free / unscheduled-paid thesis leans on it.</t>
  </si>
  <si>
    <t xml:space="preserve">• Put the operational questions to sales counsellors: radius, days, hours, booking lead time, fees, wheelchair accessibility, what happens when two residents want the vehicle at once, and whether the shuttle comes to the villa door. Based on this research, none of these is answerable from published material.</t>
  </si>
  <si>
    <t xml:space="preserve">Sources, attribution and method notes</t>
  </si>
  <si>
    <t xml:space="preserve">Document</t>
  </si>
  <si>
    <t xml:space="preserve">Date</t>
  </si>
  <si>
    <t xml:space="preserve">What it contributes</t>
  </si>
  <si>
    <t xml:space="preserve">Rows in Consolidated Data</t>
  </si>
  <si>
    <t xml:space="preserve">Caveats</t>
  </si>
  <si>
    <t xml:space="preserve">Community-by-community inventory of villa/cottage products: operator, location, type, count, pricing, included amenities, sub-market.</t>
  </si>
  <si>
    <t xml:space="preserve">Web-researched Oct 2023; "Not stated" means not found online, not necessarily absent. Several entries flagged "none confirmed."</t>
  </si>
  <si>
    <t xml:space="preserve">Industry profile of the rental cottage model: included vs. ancillary services by function, fee structure, strategic takeaways.</t>
  </si>
  <si>
    <t xml:space="preserve">AI-generated (Curated platform) from web sources dated Sept 15, 2026; price ranges are indicative national norms.</t>
  </si>
  <si>
    <t xml:space="preserve">Service package at two operators (transportation, life enrichment, culinary, housekeeping, wellness, other).</t>
  </si>
  <si>
    <t xml:space="preserve">No dates, prices, or detail on maintenance/utilities/safety; "N/A" reported for wellness and other services.</t>
  </si>
  <si>
    <t xml:space="preserve">Benchmark table of 6 detached-home products across 9 service functions, 4 narrative examples, and a Base + Choice recommendation.</t>
  </si>
  <si>
    <t xml:space="preserve">Operators, locations and prices mostly not stated; narrative examples are qualitative.</t>
  </si>
  <si>
    <t xml:space="preserve">Method</t>
  </si>
  <si>
    <t xml:space="preserve">• Every amenity line in the Lopez document was mapped to one or more of the nine service functions used in Jennifer Saxman's table (plus a Residence Features column for garages, washer/dryers, patios, etc.) using keyword rules; the original wording is preserved in each cell.</t>
  </si>
  <si>
    <t xml:space="preserve">• Campus-amenity lists (e.g., "Campus amenities (pool; gym; chapel)") are placed under Life Enrichment; when they mention fitness, pool, wellness, therapy or clinic they are also echoed under Wellness with a "(via campus amenities)" prefix.</t>
  </si>
  <si>
    <t xml:space="preserve">• Tier columns (Included / Included (limited) / Available (extra cost) / Not provided / Not stated) are derived from the text: wording such as "available," "optional," "extra," "credit," "allowance," "separately" or a dollar rate is classed as Available (extra cost).</t>
  </si>
  <si>
    <t xml:space="preserve">• Monthly Fee Low/High are parsed from the reported pricing text: dollar figures under $10,000 on the monthly side of the text, excluding entry/entrance fees, deposits and community fees. Entry fees are kept as text in the pricing column.</t>
  </si>
  <si>
    <t xml:space="preserve">• Witzgall's model is represented as two rows (typical included package; typical ancillary menu) because it is not a community-level inventory. Wood's table becomes two operator rows. Saxman's six-community table becomes six rows, her narrative examples four rows, and her overall takeaway one row.</t>
  </si>
  <si>
    <t xml:space="preserve">• Synthesis counts use COUNTIFS formulas over the tier columns and recalculate if rows are edited. Lopez pricing statistics reference the contiguous Lopez block (rows 2–216).</t>
  </si>
  <si>
    <t xml:space="preserve">• Recommendations are analytical judgments built from the synthesis and are service-first: they decide what to offer at each level per function. Mapping levels to unit price points and price ranges is deferred to a later step; source price references are kept in Section B of the Good-Better-Best tab for that purpose.</t>
  </si>
  <si>
    <t xml:space="preserve">• A transportation deep-dive was added Sept 17, 2026, covering roughly 50 communities, because all 55 transportation entries in the villa study are the bare word "Transportation". Its method, evidence and reliability warnings are on the Transportation Detail tab. Community websites were unreachable from the build environment, so those findings rest on web-search summaries; several plausible-sounding details failed exact-phrase verification and were discarded.</t>
  </si>
  <si>
    <t xml:space="preserve">• Workbook built Sept 17, 2026 from the four sources above.</t>
  </si>
</sst>
</file>

<file path=xl/styles.xml><?xml version="1.0" encoding="utf-8"?>
<styleSheet xmlns="http://schemas.openxmlformats.org/spreadsheetml/2006/main">
  <numFmts count="4">
    <numFmt numFmtId="164" formatCode="General"/>
    <numFmt numFmtId="165" formatCode="\$#,##0"/>
    <numFmt numFmtId="166" formatCode="General"/>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000000"/>
      <name val="Arial"/>
      <family val="0"/>
      <charset val="1"/>
    </font>
    <font>
      <b val="true"/>
      <sz val="10"/>
      <color rgb="FFFFFFFF"/>
      <name val="Arial"/>
      <family val="0"/>
      <charset val="1"/>
    </font>
    <font>
      <b val="true"/>
      <sz val="11"/>
      <color rgb="FF1F3864"/>
      <name val="Arial"/>
      <family val="0"/>
      <charset val="1"/>
    </font>
    <font>
      <sz val="10"/>
      <color rgb="FF000000"/>
      <name val="Arial"/>
      <family val="0"/>
      <charset val="1"/>
    </font>
    <font>
      <b val="true"/>
      <sz val="12"/>
      <color rgb="FF1F3864"/>
      <name val="Arial"/>
      <family val="0"/>
      <charset val="1"/>
    </font>
    <font>
      <b val="true"/>
      <sz val="11"/>
      <color rgb="FF000000"/>
      <name val="Arial"/>
      <family val="0"/>
      <charset val="1"/>
    </font>
    <font>
      <b val="true"/>
      <sz val="10"/>
      <color rgb="FF1F3864"/>
      <name val="Arial"/>
      <family val="0"/>
      <charset val="1"/>
    </font>
    <font>
      <b val="true"/>
      <sz val="10"/>
      <color rgb="FF000000"/>
      <name val="Arial"/>
      <family val="0"/>
      <charset val="1"/>
    </font>
    <font>
      <sz val="9"/>
      <color rgb="FF000000"/>
      <name val="Arial"/>
      <family val="0"/>
      <charset val="1"/>
    </font>
    <font>
      <sz val="10"/>
      <name val="Arial"/>
      <family val="2"/>
    </font>
    <font>
      <b val="true"/>
      <sz val="14"/>
      <color rgb="FF1F3864"/>
      <name val="Arial"/>
      <family val="0"/>
      <charset val="1"/>
    </font>
    <font>
      <i val="true"/>
      <sz val="9"/>
      <color rgb="FF000000"/>
      <name val="Arial"/>
      <family val="0"/>
      <charset val="1"/>
    </font>
    <font>
      <b val="true"/>
      <sz val="9"/>
      <color rgb="FF000000"/>
      <name val="Arial"/>
      <family val="0"/>
      <charset val="1"/>
    </font>
  </fonts>
  <fills count="23">
    <fill>
      <patternFill patternType="none"/>
    </fill>
    <fill>
      <patternFill patternType="gray125"/>
    </fill>
    <fill>
      <patternFill patternType="solid">
        <fgColor rgb="FF1F3864"/>
        <bgColor rgb="FF333333"/>
      </patternFill>
    </fill>
    <fill>
      <patternFill patternType="solid">
        <fgColor rgb="FFD9E1F2"/>
        <bgColor rgb="FFDDEBF7"/>
      </patternFill>
    </fill>
    <fill>
      <patternFill patternType="solid">
        <fgColor rgb="FFF4F6F8"/>
        <bgColor rgb="FFF2F5F9"/>
      </patternFill>
    </fill>
    <fill>
      <patternFill patternType="solid">
        <fgColor rgb="FFE2EFDA"/>
        <bgColor rgb="FFD9EAD3"/>
      </patternFill>
    </fill>
    <fill>
      <patternFill patternType="solid">
        <fgColor rgb="FFDDEBF7"/>
        <bgColor rgb="FFD9E1F2"/>
      </patternFill>
    </fill>
    <fill>
      <patternFill patternType="solid">
        <fgColor rgb="FFFCE4D6"/>
        <bgColor rgb="FFFDEFE8"/>
      </patternFill>
    </fill>
    <fill>
      <patternFill patternType="solid">
        <fgColor rgb="FFFFFFFF"/>
        <bgColor rgb="FFF4F6F8"/>
      </patternFill>
    </fill>
    <fill>
      <patternFill patternType="solid">
        <fgColor rgb="FFC6EFCE"/>
        <bgColor rgb="FFD9EAD3"/>
      </patternFill>
    </fill>
    <fill>
      <patternFill patternType="solid">
        <fgColor rgb="FFEDEDED"/>
        <bgColor rgb="FFE7E6E6"/>
      </patternFill>
    </fill>
    <fill>
      <patternFill patternType="solid">
        <fgColor rgb="FFF2F5F9"/>
        <bgColor rgb="FFF4F6F8"/>
      </patternFill>
    </fill>
    <fill>
      <patternFill patternType="solid">
        <fgColor rgb="FFFFEB9C"/>
        <bgColor rgb="FFFFF2CC"/>
      </patternFill>
    </fill>
    <fill>
      <patternFill patternType="solid">
        <fgColor rgb="FFFFF2CC"/>
        <bgColor rgb="FFFDF6E3"/>
      </patternFill>
    </fill>
    <fill>
      <patternFill patternType="solid">
        <fgColor rgb="FFFDF6E3"/>
        <bgColor rgb="FFFDEFE8"/>
      </patternFill>
    </fill>
    <fill>
      <patternFill patternType="solid">
        <fgColor rgb="FFEEF6EA"/>
        <bgColor rgb="FFF2F5F9"/>
      </patternFill>
    </fill>
    <fill>
      <patternFill patternType="solid">
        <fgColor rgb="FFF8CBAD"/>
        <bgColor rgb="FFFCE4D6"/>
      </patternFill>
    </fill>
    <fill>
      <patternFill patternType="solid">
        <fgColor rgb="FFFDEFE8"/>
        <bgColor rgb="FFFDF6E3"/>
      </patternFill>
    </fill>
    <fill>
      <patternFill patternType="solid">
        <fgColor rgb="FFD9EAD3"/>
        <bgColor rgb="FFE2EFDA"/>
      </patternFill>
    </fill>
    <fill>
      <patternFill patternType="solid">
        <fgColor rgb="FF548235"/>
        <bgColor rgb="FF339966"/>
      </patternFill>
    </fill>
    <fill>
      <patternFill patternType="solid">
        <fgColor rgb="FF2E75B6"/>
        <bgColor rgb="FF0066CC"/>
      </patternFill>
    </fill>
    <fill>
      <patternFill patternType="solid">
        <fgColor rgb="FFC55A11"/>
        <bgColor rgb="FF993300"/>
      </patternFill>
    </fill>
    <fill>
      <patternFill patternType="solid">
        <fgColor rgb="FFE7E6E6"/>
        <bgColor rgb="FFEDEDED"/>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true" applyProtection="false">
      <alignment horizontal="general" vertical="top" textRotation="0" wrapText="true" indent="0" shrinkToFit="false"/>
      <protection locked="true" hidden="false"/>
    </xf>
    <xf numFmtId="164" fontId="8" fillId="9" borderId="1" xfId="0" applyFont="true" applyBorder="true" applyAlignment="true" applyProtection="false">
      <alignment horizontal="general" vertical="top" textRotation="0" wrapText="true" indent="0" shrinkToFit="false"/>
      <protection locked="true" hidden="false"/>
    </xf>
    <xf numFmtId="164" fontId="13" fillId="9" borderId="1" xfId="0" applyFont="true" applyBorder="true" applyAlignment="true" applyProtection="false">
      <alignment horizontal="center"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11" fillId="11" borderId="1" xfId="0" applyFont="true" applyBorder="true" applyAlignment="true" applyProtection="false">
      <alignment horizontal="general" vertical="top" textRotation="0" wrapText="true" indent="0" shrinkToFit="false"/>
      <protection locked="true" hidden="false"/>
    </xf>
    <xf numFmtId="164" fontId="12" fillId="11" borderId="1" xfId="0" applyFont="true" applyBorder="true" applyAlignment="true" applyProtection="false">
      <alignment horizontal="general" vertical="top" textRotation="0" wrapText="true" indent="0" shrinkToFit="false"/>
      <protection locked="true" hidden="false"/>
    </xf>
    <xf numFmtId="165" fontId="8" fillId="11" borderId="1" xfId="0" applyFont="true" applyBorder="true" applyAlignment="true" applyProtection="false">
      <alignment horizontal="general" vertical="top" textRotation="0" wrapText="true" indent="0" shrinkToFit="false"/>
      <protection locked="true" hidden="false"/>
    </xf>
    <xf numFmtId="164" fontId="8" fillId="12"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center" vertical="center"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11" fillId="13" borderId="1" xfId="0" applyFont="true" applyBorder="true" applyAlignment="true" applyProtection="false">
      <alignment horizontal="general" vertical="top" textRotation="0" wrapText="true" indent="0" shrinkToFit="false"/>
      <protection locked="true" hidden="false"/>
    </xf>
    <xf numFmtId="164" fontId="12" fillId="13" borderId="1" xfId="0" applyFont="true" applyBorder="true" applyAlignment="true" applyProtection="false">
      <alignment horizontal="general" vertical="top" textRotation="0" wrapText="true" indent="0" shrinkToFit="false"/>
      <protection locked="true" hidden="false"/>
    </xf>
    <xf numFmtId="165" fontId="8" fillId="13" borderId="1" xfId="0" applyFont="true" applyBorder="true" applyAlignment="true" applyProtection="false">
      <alignment horizontal="general"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11" fillId="14" borderId="1" xfId="0" applyFont="true" applyBorder="true" applyAlignment="true" applyProtection="false">
      <alignment horizontal="general" vertical="top" textRotation="0" wrapText="true" indent="0" shrinkToFit="false"/>
      <protection locked="true" hidden="false"/>
    </xf>
    <xf numFmtId="164" fontId="12" fillId="14" borderId="1" xfId="0" applyFont="true" applyBorder="true" applyAlignment="true" applyProtection="false">
      <alignment horizontal="general" vertical="top" textRotation="0" wrapText="true" indent="0" shrinkToFit="false"/>
      <protection locked="true" hidden="false"/>
    </xf>
    <xf numFmtId="165" fontId="8" fillId="14"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5" fontId="8" fillId="5"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11" fillId="15" borderId="1" xfId="0" applyFont="true" applyBorder="true" applyAlignment="true" applyProtection="false">
      <alignment horizontal="general" vertical="top" textRotation="0" wrapText="true" indent="0" shrinkToFit="false"/>
      <protection locked="true" hidden="false"/>
    </xf>
    <xf numFmtId="164" fontId="12" fillId="15" borderId="1" xfId="0" applyFont="true" applyBorder="true" applyAlignment="true" applyProtection="false">
      <alignment horizontal="general" vertical="top" textRotation="0" wrapText="true" indent="0" shrinkToFit="false"/>
      <protection locked="true" hidden="false"/>
    </xf>
    <xf numFmtId="165" fontId="8" fillId="15" borderId="1" xfId="0" applyFont="true" applyBorder="true" applyAlignment="true" applyProtection="false">
      <alignment horizontal="general" vertical="top" textRotation="0" wrapText="true" indent="0" shrinkToFit="false"/>
      <protection locked="true" hidden="false"/>
    </xf>
    <xf numFmtId="164" fontId="8" fillId="16" borderId="1" xfId="0" applyFont="true" applyBorder="true" applyAlignment="true" applyProtection="false">
      <alignment horizontal="general" vertical="top" textRotation="0" wrapText="true" indent="0" shrinkToFit="false"/>
      <protection locked="true" hidden="false"/>
    </xf>
    <xf numFmtId="164" fontId="13" fillId="16" borderId="1" xfId="0" applyFont="true" applyBorder="true" applyAlignment="true" applyProtection="false">
      <alignment horizontal="center" vertical="center"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5" fontId="8" fillId="7" borderId="1" xfId="0" applyFont="true" applyBorder="true" applyAlignment="true" applyProtection="false">
      <alignment horizontal="general" vertical="top" textRotation="0" wrapText="true" indent="0" shrinkToFit="false"/>
      <protection locked="true" hidden="false"/>
    </xf>
    <xf numFmtId="164" fontId="8" fillId="17" borderId="1" xfId="0" applyFont="true" applyBorder="true" applyAlignment="true" applyProtection="false">
      <alignment horizontal="general" vertical="top" textRotation="0" wrapText="true" indent="0" shrinkToFit="false"/>
      <protection locked="true" hidden="false"/>
    </xf>
    <xf numFmtId="164" fontId="11" fillId="17" borderId="1" xfId="0" applyFont="true" applyBorder="true" applyAlignment="true" applyProtection="false">
      <alignment horizontal="general" vertical="top" textRotation="0" wrapText="true" indent="0" shrinkToFit="false"/>
      <protection locked="true" hidden="false"/>
    </xf>
    <xf numFmtId="164" fontId="12" fillId="17" borderId="1" xfId="0" applyFont="true" applyBorder="true" applyAlignment="true" applyProtection="false">
      <alignment horizontal="general" vertical="top" textRotation="0" wrapText="true" indent="0" shrinkToFit="false"/>
      <protection locked="true" hidden="false"/>
    </xf>
    <xf numFmtId="165" fontId="8" fillId="17" borderId="1" xfId="0" applyFont="true" applyBorder="true" applyAlignment="true" applyProtection="false">
      <alignment horizontal="general" vertical="top" textRotation="0" wrapText="true" indent="0" shrinkToFit="false"/>
      <protection locked="true" hidden="false"/>
    </xf>
    <xf numFmtId="164" fontId="8" fillId="18" borderId="1" xfId="0" applyFont="true" applyBorder="true" applyAlignment="true" applyProtection="false">
      <alignment horizontal="general" vertical="top" textRotation="0" wrapText="true" indent="0" shrinkToFit="false"/>
      <protection locked="true" hidden="false"/>
    </xf>
    <xf numFmtId="164" fontId="13" fillId="18"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6" fontId="8" fillId="8" borderId="1" xfId="0" applyFont="true" applyBorder="true" applyAlignment="true" applyProtection="false">
      <alignment horizontal="center" vertical="center" textRotation="0" wrapText="true" indent="0" shrinkToFit="false"/>
      <protection locked="true" hidden="false"/>
    </xf>
    <xf numFmtId="167" fontId="8" fillId="8"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13" fillId="13" borderId="1" xfId="0" applyFont="true" applyBorder="true" applyAlignment="true" applyProtection="false">
      <alignment horizontal="general" vertical="top" textRotation="0" wrapText="true" indent="0" shrinkToFit="false"/>
      <protection locked="true" hidden="false"/>
    </xf>
    <xf numFmtId="164" fontId="7" fillId="8" borderId="2" xfId="0" applyFont="true" applyBorder="true" applyAlignment="true" applyProtection="false">
      <alignment horizontal="center" vertical="center" textRotation="0" wrapText="true" indent="0" shrinkToFit="false"/>
      <protection locked="true" hidden="false"/>
    </xf>
    <xf numFmtId="164" fontId="8" fillId="19" borderId="1" xfId="0" applyFont="true" applyBorder="true" applyAlignment="true" applyProtection="false">
      <alignment horizontal="general" vertical="top" textRotation="0" wrapText="true" indent="0" shrinkToFit="false"/>
      <protection locked="true" hidden="false"/>
    </xf>
    <xf numFmtId="164" fontId="8" fillId="5" borderId="2" xfId="0" applyFont="true" applyBorder="true" applyAlignment="true" applyProtection="false">
      <alignment horizontal="general" vertical="top" textRotation="0" wrapText="true" indent="0" shrinkToFit="false"/>
      <protection locked="true" hidden="false"/>
    </xf>
    <xf numFmtId="164" fontId="13" fillId="8" borderId="2"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general" vertical="top" textRotation="0" wrapText="true" indent="0" shrinkToFit="false"/>
      <protection locked="true" hidden="false"/>
    </xf>
    <xf numFmtId="164" fontId="8" fillId="21" borderId="1"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general" vertical="top" textRotation="0" wrapText="true" indent="0" shrinkToFit="false"/>
      <protection locked="true" hidden="false"/>
    </xf>
    <xf numFmtId="164" fontId="6" fillId="19" borderId="1" xfId="0" applyFont="true" applyBorder="true" applyAlignment="true" applyProtection="false">
      <alignment horizontal="center" vertical="center" textRotation="0" wrapText="true" indent="0" shrinkToFit="false"/>
      <protection locked="true" hidden="false"/>
    </xf>
    <xf numFmtId="164" fontId="6"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center"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8" fillId="9" borderId="2" xfId="0" applyFont="true" applyBorder="true" applyAlignment="true" applyProtection="false">
      <alignment horizontal="general" vertical="top" textRotation="0" wrapText="true" indent="0" shrinkToFit="false"/>
      <protection locked="true" hidden="false"/>
    </xf>
    <xf numFmtId="164" fontId="8" fillId="22"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center"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8" fillId="12"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17" fillId="16" borderId="1" xfId="0" applyFont="true" applyBorder="true" applyAlignment="true" applyProtection="false">
      <alignment horizontal="center" vertical="center" textRotation="0" wrapText="tru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8" fillId="1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fgColor rgb="FFE2EFDA"/>
          <bgColor rgb="FF000000"/>
        </patternFill>
      </fill>
    </dxf>
    <dxf>
      <fill>
        <patternFill patternType="solid">
          <fgColor rgb="FFEEF6EA"/>
          <bgColor rgb="FF000000"/>
        </patternFill>
      </fill>
    </dxf>
    <dxf>
      <fill>
        <patternFill patternType="solid">
          <fgColor rgb="FFF2F5F9"/>
          <bgColor rgb="FF000000"/>
        </patternFill>
      </fill>
    </dxf>
    <dxf>
      <fill>
        <patternFill patternType="solid">
          <fgColor rgb="FFFCE4D6"/>
          <bgColor rgb="FF000000"/>
        </patternFill>
      </fill>
    </dxf>
    <dxf>
      <fill>
        <patternFill patternType="solid">
          <fgColor rgb="FFFDEFE8"/>
          <bgColor rgb="FF000000"/>
        </patternFill>
      </fill>
    </dxf>
    <dxf>
      <fill>
        <patternFill patternType="solid">
          <fgColor rgb="FFFDF6E3"/>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EB9C"/>
          <bgColor rgb="FF000000"/>
        </patternFill>
      </fill>
    </dxf>
    <dxf>
      <fill>
        <patternFill patternType="solid">
          <fgColor rgb="FFD9EAD3"/>
          <bgColor rgb="FF000000"/>
        </patternFill>
      </fill>
    </dxf>
    <dxf>
      <fill>
        <patternFill patternType="solid">
          <fgColor rgb="FFEDEDED"/>
          <bgColor rgb="FF000000"/>
        </patternFill>
      </fill>
    </dxf>
    <dxf>
      <fill>
        <patternFill patternType="solid">
          <fgColor rgb="FFF4F6F8"/>
          <bgColor rgb="FF000000"/>
        </patternFill>
      </fill>
    </dxf>
    <dxf>
      <fill>
        <patternFill patternType="solid">
          <bgColor rgb="FF000000"/>
        </patternFill>
      </fill>
    </dxf>
    <dxf>
      <fill>
        <patternFill patternType="solid">
          <fgColor rgb="FF2E75B6"/>
          <bgColor rgb="FF000000"/>
        </patternFill>
      </fill>
    </dxf>
    <dxf>
      <fill>
        <patternFill patternType="solid">
          <fgColor rgb="FF548235"/>
          <bgColor rgb="FF000000"/>
        </patternFill>
      </fill>
    </dxf>
    <dxf>
      <fill>
        <patternFill patternType="solid">
          <fgColor rgb="FFC55A11"/>
          <bgColor rgb="FF000000"/>
        </patternFill>
      </fill>
    </dxf>
    <dxf>
      <fill>
        <patternFill patternType="solid">
          <fgColor rgb="FFDDEBF7"/>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E2EFDA"/>
      <rgbColor rgb="FFFF00FF"/>
      <rgbColor rgb="FF00FFFF"/>
      <rgbColor rgb="FF800000"/>
      <rgbColor rgb="FF008000"/>
      <rgbColor rgb="FF000080"/>
      <rgbColor rgb="FF548235"/>
      <rgbColor rgb="FF800080"/>
      <rgbColor rgb="FF008080"/>
      <rgbColor rgb="FFBFBFBF"/>
      <rgbColor rgb="FF808080"/>
      <rgbColor rgb="FFEDEDED"/>
      <rgbColor rgb="FF993366"/>
      <rgbColor rgb="FFFFF2CC"/>
      <rgbColor rgb="FFDDEBF7"/>
      <rgbColor rgb="FF660066"/>
      <rgbColor rgb="FFF4F6F8"/>
      <rgbColor rgb="FF0066CC"/>
      <rgbColor rgb="FFD9E1F2"/>
      <rgbColor rgb="FF000080"/>
      <rgbColor rgb="FFFF00FF"/>
      <rgbColor rgb="FFFDF6E3"/>
      <rgbColor rgb="FF00FFFF"/>
      <rgbColor rgb="FF800080"/>
      <rgbColor rgb="FF800000"/>
      <rgbColor rgb="FF008080"/>
      <rgbColor rgb="FF0000FF"/>
      <rgbColor rgb="FF00CCFF"/>
      <rgbColor rgb="FFEEF6EA"/>
      <rgbColor rgb="FFC6EFCE"/>
      <rgbColor rgb="FFFFEB9C"/>
      <rgbColor rgb="FFD9EAD3"/>
      <rgbColor rgb="FFFCE4D6"/>
      <rgbColor rgb="FFE7E6E6"/>
      <rgbColor rgb="FFF8CBAD"/>
      <rgbColor rgb="FF2E75B6"/>
      <rgbColor rgb="FF33CCCC"/>
      <rgbColor rgb="FF99CC00"/>
      <rgbColor rgb="FFFDEFE8"/>
      <rgbColor rgb="FFFF9900"/>
      <rgbColor rgb="FFC55A11"/>
      <rgbColor rgb="FF666699"/>
      <rgbColor rgb="FFF2F5F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64"/>
    <col collapsed="false" customWidth="true" hidden="false" outlineLevel="0" max="4" min="4" style="0" width="40"/>
  </cols>
  <sheetData>
    <row r="1" customFormat="false" ht="19.7" hidden="false" customHeight="false" outlineLevel="0" collapsed="false">
      <c r="A1" s="1" t="s">
        <v>0</v>
      </c>
    </row>
    <row r="2" customFormat="false" ht="30" hidden="false" customHeight="true" outlineLevel="0" collapsed="false">
      <c r="A2" s="2" t="s">
        <v>1</v>
      </c>
      <c r="B2" s="2"/>
      <c r="C2" s="2"/>
      <c r="D2" s="2"/>
    </row>
    <row r="4" customFormat="false" ht="15" hidden="false" customHeight="false" outlineLevel="0" collapsed="false">
      <c r="A4" s="3" t="s">
        <v>2</v>
      </c>
      <c r="B4" s="3" t="s">
        <v>3</v>
      </c>
      <c r="C4" s="3" t="s">
        <v>4</v>
      </c>
      <c r="D4" s="3" t="s">
        <v>5</v>
      </c>
    </row>
    <row r="5" customFormat="false" ht="96" hidden="false" customHeight="true" outlineLevel="0" collapsed="false">
      <c r="A5" s="4" t="s">
        <v>6</v>
      </c>
      <c r="B5" s="5" t="s">
        <v>7</v>
      </c>
      <c r="C5" s="5" t="s">
        <v>8</v>
      </c>
      <c r="D5" s="5" t="s">
        <v>9</v>
      </c>
    </row>
    <row r="6" customFormat="false" ht="96" hidden="false" customHeight="true" outlineLevel="0" collapsed="false">
      <c r="A6" s="4" t="s">
        <v>10</v>
      </c>
      <c r="B6" s="6" t="s">
        <v>11</v>
      </c>
      <c r="C6" s="6" t="s">
        <v>12</v>
      </c>
      <c r="D6" s="6" t="s">
        <v>13</v>
      </c>
    </row>
    <row r="7" customFormat="false" ht="96" hidden="false" customHeight="true" outlineLevel="0" collapsed="false">
      <c r="A7" s="4" t="s">
        <v>14</v>
      </c>
      <c r="B7" s="5" t="s">
        <v>15</v>
      </c>
      <c r="C7" s="5" t="s">
        <v>16</v>
      </c>
      <c r="D7" s="5" t="s">
        <v>17</v>
      </c>
    </row>
    <row r="8" customFormat="false" ht="96" hidden="false" customHeight="true" outlineLevel="0" collapsed="false">
      <c r="A8" s="4" t="s">
        <v>18</v>
      </c>
      <c r="B8" s="6" t="s">
        <v>19</v>
      </c>
      <c r="C8" s="6" t="s">
        <v>20</v>
      </c>
      <c r="D8" s="6" t="s">
        <v>21</v>
      </c>
    </row>
    <row r="9" customFormat="false" ht="96" hidden="false" customHeight="true" outlineLevel="0" collapsed="false">
      <c r="A9" s="4" t="s">
        <v>22</v>
      </c>
      <c r="B9" s="5" t="s">
        <v>23</v>
      </c>
      <c r="C9" s="5" t="s">
        <v>24</v>
      </c>
      <c r="D9" s="5" t="s">
        <v>25</v>
      </c>
    </row>
    <row r="10" customFormat="false" ht="96" hidden="false" customHeight="true" outlineLevel="0" collapsed="false">
      <c r="A10" s="4" t="s">
        <v>26</v>
      </c>
      <c r="B10" s="6" t="s">
        <v>27</v>
      </c>
      <c r="C10" s="6" t="s">
        <v>28</v>
      </c>
      <c r="D10" s="6" t="s">
        <v>29</v>
      </c>
    </row>
    <row r="12" customFormat="false" ht="15" hidden="false" customHeight="false" outlineLevel="0" collapsed="false">
      <c r="A12" s="7" t="s">
        <v>30</v>
      </c>
    </row>
    <row r="13" customFormat="false" ht="61.5" hidden="false" customHeight="true" outlineLevel="0" collapsed="false">
      <c r="A13" s="8" t="s">
        <v>31</v>
      </c>
      <c r="B13" s="9" t="s">
        <v>32</v>
      </c>
      <c r="C13" s="9"/>
      <c r="D13" s="9"/>
    </row>
    <row r="14" customFormat="false" ht="61.5" hidden="false" customHeight="true" outlineLevel="0" collapsed="false">
      <c r="A14" s="10" t="s">
        <v>33</v>
      </c>
      <c r="B14" s="11" t="s">
        <v>34</v>
      </c>
      <c r="C14" s="11"/>
      <c r="D14" s="11"/>
    </row>
    <row r="15" customFormat="false" ht="61.5" hidden="false" customHeight="true" outlineLevel="0" collapsed="false">
      <c r="A15" s="12" t="s">
        <v>35</v>
      </c>
      <c r="B15" s="13" t="s">
        <v>36</v>
      </c>
      <c r="C15" s="13"/>
      <c r="D15" s="13"/>
    </row>
    <row r="17" customFormat="false" ht="15" hidden="false" customHeight="false" outlineLevel="0" collapsed="false">
      <c r="A17" s="7" t="s">
        <v>37</v>
      </c>
    </row>
    <row r="18" customFormat="false" ht="43.5" hidden="false" customHeight="true" outlineLevel="0" collapsed="false">
      <c r="A18" s="14" t="s">
        <v>38</v>
      </c>
      <c r="B18" s="14"/>
      <c r="C18" s="14"/>
      <c r="D18" s="14"/>
    </row>
    <row r="19" customFormat="false" ht="43.5" hidden="false" customHeight="true" outlineLevel="0" collapsed="false">
      <c r="A19" s="14" t="s">
        <v>39</v>
      </c>
      <c r="B19" s="14"/>
      <c r="C19" s="14"/>
      <c r="D19" s="14"/>
    </row>
    <row r="20" customFormat="false" ht="43.5" hidden="false" customHeight="true" outlineLevel="0" collapsed="false">
      <c r="A20" s="14" t="s">
        <v>40</v>
      </c>
      <c r="B20" s="14"/>
      <c r="C20" s="14"/>
      <c r="D20" s="14"/>
    </row>
  </sheetData>
  <mergeCells count="7">
    <mergeCell ref="A2:D2"/>
    <mergeCell ref="B13:D13"/>
    <mergeCell ref="B14:D14"/>
    <mergeCell ref="B15:D15"/>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3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5"/>
    <col collapsed="false" customWidth="true" hidden="false" outlineLevel="0" max="3" min="3" style="0" width="24"/>
    <col collapsed="false" customWidth="true" hidden="false" outlineLevel="0" max="4" min="4" style="0" width="16"/>
    <col collapsed="false" customWidth="true" hidden="false" outlineLevel="0" max="5" min="5" style="0" width="36"/>
    <col collapsed="false" customWidth="true" hidden="false" outlineLevel="0" max="6" min="6" style="0" width="24"/>
    <col collapsed="false" customWidth="true" hidden="false" outlineLevel="0" max="7" min="7" style="0" width="18"/>
    <col collapsed="false" customWidth="true" hidden="false" outlineLevel="0" max="8" min="8" style="0" width="22"/>
    <col collapsed="false" customWidth="true" hidden="false" outlineLevel="0" max="9" min="9" style="0" width="18"/>
    <col collapsed="false" customWidth="true" hidden="false" outlineLevel="0" max="10" min="10" style="0" width="34"/>
    <col collapsed="false" customWidth="true" hidden="false" outlineLevel="0" max="12" min="11" style="0" width="13"/>
    <col collapsed="false" customWidth="true" hidden="false" outlineLevel="0" max="13" min="13" style="0" width="15"/>
    <col collapsed="false" customWidth="true" hidden="false" outlineLevel="0" max="23" min="14" style="0" width="34"/>
    <col collapsed="false" customWidth="true" hidden="false" outlineLevel="0" max="24" min="24" style="0" width="40"/>
    <col collapsed="false" customWidth="true" hidden="false" outlineLevel="0" max="25" min="25" style="0" width="28"/>
    <col collapsed="false" customWidth="true" hidden="false" outlineLevel="0" max="26" min="26" style="0" width="12"/>
    <col collapsed="false" customWidth="true" hidden="false" outlineLevel="0" max="35" min="27" style="0" width="17"/>
  </cols>
  <sheetData>
    <row r="1" customFormat="false" ht="48" hidden="false" customHeight="true" outlineLevel="0" collapsed="false">
      <c r="A1" s="3" t="s">
        <v>41</v>
      </c>
      <c r="B1" s="3" t="s">
        <v>42</v>
      </c>
      <c r="C1" s="3" t="s">
        <v>43</v>
      </c>
      <c r="D1" s="3" t="s">
        <v>44</v>
      </c>
      <c r="E1" s="3" t="s">
        <v>45</v>
      </c>
      <c r="F1" s="3" t="s">
        <v>46</v>
      </c>
      <c r="G1" s="3" t="s">
        <v>47</v>
      </c>
      <c r="H1" s="3" t="s">
        <v>48</v>
      </c>
      <c r="I1" s="3" t="s">
        <v>49</v>
      </c>
      <c r="J1" s="3" t="s">
        <v>50</v>
      </c>
      <c r="K1" s="3" t="s">
        <v>51</v>
      </c>
      <c r="L1" s="3" t="s">
        <v>52</v>
      </c>
      <c r="M1" s="3" t="s">
        <v>53</v>
      </c>
      <c r="N1" s="3" t="s">
        <v>54</v>
      </c>
      <c r="O1" s="3" t="s">
        <v>55</v>
      </c>
      <c r="P1" s="3" t="s">
        <v>56</v>
      </c>
      <c r="Q1" s="3" t="s">
        <v>57</v>
      </c>
      <c r="R1" s="3" t="s">
        <v>58</v>
      </c>
      <c r="S1" s="3" t="s">
        <v>59</v>
      </c>
      <c r="T1" s="3" t="s">
        <v>60</v>
      </c>
      <c r="U1" s="3" t="s">
        <v>61</v>
      </c>
      <c r="V1" s="3" t="s">
        <v>62</v>
      </c>
      <c r="W1" s="3" t="s">
        <v>63</v>
      </c>
      <c r="X1" s="3" t="s">
        <v>64</v>
      </c>
      <c r="Y1" s="3" t="s">
        <v>65</v>
      </c>
      <c r="Z1" s="3" t="s">
        <v>66</v>
      </c>
      <c r="AA1" s="3" t="s">
        <v>67</v>
      </c>
      <c r="AB1" s="3" t="s">
        <v>68</v>
      </c>
      <c r="AC1" s="3" t="s">
        <v>69</v>
      </c>
      <c r="AD1" s="3" t="s">
        <v>70</v>
      </c>
      <c r="AE1" s="3" t="s">
        <v>71</v>
      </c>
      <c r="AF1" s="3" t="s">
        <v>72</v>
      </c>
      <c r="AG1" s="3" t="s">
        <v>73</v>
      </c>
      <c r="AH1" s="3" t="s">
        <v>74</v>
      </c>
      <c r="AI1" s="3" t="s">
        <v>75</v>
      </c>
    </row>
    <row r="2" customFormat="false" ht="57.75" hidden="false" customHeight="true" outlineLevel="0" collapsed="false">
      <c r="A2" s="15" t="n">
        <v>1</v>
      </c>
      <c r="B2" s="16" t="s">
        <v>76</v>
      </c>
      <c r="C2" s="15" t="s">
        <v>77</v>
      </c>
      <c r="D2" s="15" t="s">
        <v>78</v>
      </c>
      <c r="E2" s="17" t="s">
        <v>79</v>
      </c>
      <c r="F2" s="15" t="s">
        <v>80</v>
      </c>
      <c r="G2" s="15" t="s">
        <v>81</v>
      </c>
      <c r="H2" s="15" t="s">
        <v>82</v>
      </c>
      <c r="I2" s="15" t="s">
        <v>83</v>
      </c>
      <c r="J2" s="15" t="s">
        <v>84</v>
      </c>
      <c r="K2" s="18" t="n">
        <v>2926</v>
      </c>
      <c r="L2" s="18" t="n">
        <v>4006</v>
      </c>
      <c r="M2" s="15" t="s">
        <v>85</v>
      </c>
      <c r="N2" s="19" t="s">
        <v>54</v>
      </c>
      <c r="O2" s="19" t="s">
        <v>86</v>
      </c>
      <c r="P2" s="15"/>
      <c r="Q2" s="19" t="s">
        <v>87</v>
      </c>
      <c r="R2" s="19" t="s">
        <v>88</v>
      </c>
      <c r="S2" s="19" t="s">
        <v>89</v>
      </c>
      <c r="T2" s="15"/>
      <c r="U2" s="19" t="s">
        <v>90</v>
      </c>
      <c r="V2" s="15"/>
      <c r="W2" s="15" t="s">
        <v>91</v>
      </c>
      <c r="X2" s="15"/>
      <c r="Y2" s="15" t="s">
        <v>92</v>
      </c>
      <c r="Z2" s="15"/>
      <c r="AA2" s="20" t="s">
        <v>93</v>
      </c>
      <c r="AB2" s="20" t="s">
        <v>93</v>
      </c>
      <c r="AC2" s="21" t="s">
        <v>94</v>
      </c>
      <c r="AD2" s="20" t="s">
        <v>93</v>
      </c>
      <c r="AE2" s="20" t="s">
        <v>93</v>
      </c>
      <c r="AF2" s="20" t="s">
        <v>93</v>
      </c>
      <c r="AG2" s="21" t="s">
        <v>94</v>
      </c>
      <c r="AH2" s="20" t="s">
        <v>93</v>
      </c>
      <c r="AI2" s="21" t="s">
        <v>94</v>
      </c>
    </row>
    <row r="3" customFormat="false" ht="57.75" hidden="false" customHeight="true" outlineLevel="0" collapsed="false">
      <c r="A3" s="22" t="n">
        <v>2</v>
      </c>
      <c r="B3" s="23" t="s">
        <v>76</v>
      </c>
      <c r="C3" s="22" t="s">
        <v>77</v>
      </c>
      <c r="D3" s="22" t="s">
        <v>78</v>
      </c>
      <c r="E3" s="24" t="s">
        <v>95</v>
      </c>
      <c r="F3" s="22" t="s">
        <v>96</v>
      </c>
      <c r="G3" s="22" t="s">
        <v>97</v>
      </c>
      <c r="H3" s="22" t="s">
        <v>82</v>
      </c>
      <c r="I3" s="22" t="s">
        <v>98</v>
      </c>
      <c r="J3" s="22"/>
      <c r="K3" s="25"/>
      <c r="L3" s="25"/>
      <c r="M3" s="22" t="s">
        <v>99</v>
      </c>
      <c r="N3" s="19" t="s">
        <v>54</v>
      </c>
      <c r="O3" s="19" t="s">
        <v>100</v>
      </c>
      <c r="P3" s="19" t="s">
        <v>101</v>
      </c>
      <c r="Q3" s="19" t="s">
        <v>102</v>
      </c>
      <c r="R3" s="19" t="s">
        <v>103</v>
      </c>
      <c r="S3" s="19" t="s">
        <v>89</v>
      </c>
      <c r="T3" s="22"/>
      <c r="U3" s="19" t="s">
        <v>104</v>
      </c>
      <c r="V3" s="22"/>
      <c r="W3" s="22" t="s">
        <v>105</v>
      </c>
      <c r="X3" s="22"/>
      <c r="Y3" s="22" t="s">
        <v>106</v>
      </c>
      <c r="Z3" s="22" t="s">
        <v>107</v>
      </c>
      <c r="AA3" s="20" t="s">
        <v>93</v>
      </c>
      <c r="AB3" s="20" t="s">
        <v>93</v>
      </c>
      <c r="AC3" s="20" t="s">
        <v>93</v>
      </c>
      <c r="AD3" s="20" t="s">
        <v>93</v>
      </c>
      <c r="AE3" s="20" t="s">
        <v>93</v>
      </c>
      <c r="AF3" s="20" t="s">
        <v>93</v>
      </c>
      <c r="AG3" s="21" t="s">
        <v>94</v>
      </c>
      <c r="AH3" s="20" t="s">
        <v>93</v>
      </c>
      <c r="AI3" s="21" t="s">
        <v>94</v>
      </c>
    </row>
    <row r="4" customFormat="false" ht="57.75" hidden="false" customHeight="true" outlineLevel="0" collapsed="false">
      <c r="A4" s="15" t="n">
        <v>3</v>
      </c>
      <c r="B4" s="16" t="s">
        <v>76</v>
      </c>
      <c r="C4" s="15" t="s">
        <v>77</v>
      </c>
      <c r="D4" s="15" t="s">
        <v>78</v>
      </c>
      <c r="E4" s="17" t="s">
        <v>108</v>
      </c>
      <c r="F4" s="15" t="s">
        <v>109</v>
      </c>
      <c r="G4" s="15" t="s">
        <v>110</v>
      </c>
      <c r="H4" s="15" t="s">
        <v>82</v>
      </c>
      <c r="I4" s="15" t="s">
        <v>111</v>
      </c>
      <c r="J4" s="15" t="s">
        <v>112</v>
      </c>
      <c r="K4" s="18" t="n">
        <v>4620</v>
      </c>
      <c r="L4" s="18" t="n">
        <v>4620</v>
      </c>
      <c r="M4" s="15" t="s">
        <v>85</v>
      </c>
      <c r="N4" s="19" t="s">
        <v>54</v>
      </c>
      <c r="O4" s="19" t="s">
        <v>113</v>
      </c>
      <c r="P4" s="15"/>
      <c r="Q4" s="19" t="s">
        <v>114</v>
      </c>
      <c r="R4" s="19" t="s">
        <v>115</v>
      </c>
      <c r="S4" s="19" t="s">
        <v>89</v>
      </c>
      <c r="T4" s="15"/>
      <c r="U4" s="15"/>
      <c r="V4" s="19" t="s">
        <v>116</v>
      </c>
      <c r="W4" s="15" t="s">
        <v>117</v>
      </c>
      <c r="X4" s="15"/>
      <c r="Y4" s="15" t="s">
        <v>118</v>
      </c>
      <c r="Z4" s="15" t="s">
        <v>119</v>
      </c>
      <c r="AA4" s="20" t="s">
        <v>93</v>
      </c>
      <c r="AB4" s="20" t="s">
        <v>93</v>
      </c>
      <c r="AC4" s="21" t="s">
        <v>94</v>
      </c>
      <c r="AD4" s="20" t="s">
        <v>93</v>
      </c>
      <c r="AE4" s="20" t="s">
        <v>93</v>
      </c>
      <c r="AF4" s="20" t="s">
        <v>93</v>
      </c>
      <c r="AG4" s="21" t="s">
        <v>94</v>
      </c>
      <c r="AH4" s="21" t="s">
        <v>94</v>
      </c>
      <c r="AI4" s="20" t="s">
        <v>93</v>
      </c>
    </row>
    <row r="5" customFormat="false" ht="57.75" hidden="false" customHeight="true" outlineLevel="0" collapsed="false">
      <c r="A5" s="22" t="n">
        <v>4</v>
      </c>
      <c r="B5" s="23" t="s">
        <v>76</v>
      </c>
      <c r="C5" s="22" t="s">
        <v>77</v>
      </c>
      <c r="D5" s="22" t="s">
        <v>78</v>
      </c>
      <c r="E5" s="24" t="s">
        <v>120</v>
      </c>
      <c r="F5" s="22" t="s">
        <v>121</v>
      </c>
      <c r="G5" s="22" t="s">
        <v>122</v>
      </c>
      <c r="H5" s="22" t="s">
        <v>82</v>
      </c>
      <c r="I5" s="22" t="s">
        <v>123</v>
      </c>
      <c r="J5" s="22"/>
      <c r="K5" s="25"/>
      <c r="L5" s="25"/>
      <c r="M5" s="22" t="s">
        <v>99</v>
      </c>
      <c r="N5" s="22"/>
      <c r="O5" s="22"/>
      <c r="P5" s="22"/>
      <c r="Q5" s="19" t="s">
        <v>124</v>
      </c>
      <c r="R5" s="22"/>
      <c r="S5" s="22"/>
      <c r="T5" s="22"/>
      <c r="U5" s="19" t="s">
        <v>125</v>
      </c>
      <c r="V5" s="22"/>
      <c r="W5" s="22" t="s">
        <v>126</v>
      </c>
      <c r="X5" s="22"/>
      <c r="Y5" s="22" t="s">
        <v>127</v>
      </c>
      <c r="Z5" s="22" t="s">
        <v>128</v>
      </c>
      <c r="AA5" s="21" t="s">
        <v>94</v>
      </c>
      <c r="AB5" s="21" t="s">
        <v>94</v>
      </c>
      <c r="AC5" s="21" t="s">
        <v>94</v>
      </c>
      <c r="AD5" s="20" t="s">
        <v>93</v>
      </c>
      <c r="AE5" s="21" t="s">
        <v>94</v>
      </c>
      <c r="AF5" s="21" t="s">
        <v>94</v>
      </c>
      <c r="AG5" s="21" t="s">
        <v>94</v>
      </c>
      <c r="AH5" s="20" t="s">
        <v>93</v>
      </c>
      <c r="AI5" s="21" t="s">
        <v>94</v>
      </c>
    </row>
    <row r="6" customFormat="false" ht="57.75" hidden="false" customHeight="true" outlineLevel="0" collapsed="false">
      <c r="A6" s="15" t="n">
        <v>5</v>
      </c>
      <c r="B6" s="16" t="s">
        <v>76</v>
      </c>
      <c r="C6" s="15" t="s">
        <v>77</v>
      </c>
      <c r="D6" s="15" t="s">
        <v>78</v>
      </c>
      <c r="E6" s="17" t="s">
        <v>129</v>
      </c>
      <c r="F6" s="15" t="s">
        <v>130</v>
      </c>
      <c r="G6" s="15" t="s">
        <v>97</v>
      </c>
      <c r="H6" s="15" t="s">
        <v>131</v>
      </c>
      <c r="I6" s="15" t="s">
        <v>132</v>
      </c>
      <c r="J6" s="15"/>
      <c r="K6" s="18"/>
      <c r="L6" s="18"/>
      <c r="M6" s="15" t="s">
        <v>94</v>
      </c>
      <c r="N6" s="15"/>
      <c r="O6" s="15"/>
      <c r="P6" s="19" t="s">
        <v>133</v>
      </c>
      <c r="Q6" s="19" t="s">
        <v>134</v>
      </c>
      <c r="R6" s="15"/>
      <c r="S6" s="15"/>
      <c r="T6" s="15"/>
      <c r="U6" s="19" t="s">
        <v>135</v>
      </c>
      <c r="V6" s="15"/>
      <c r="W6" s="15" t="s">
        <v>136</v>
      </c>
      <c r="X6" s="15"/>
      <c r="Y6" s="15" t="s">
        <v>106</v>
      </c>
      <c r="Z6" s="15" t="s">
        <v>137</v>
      </c>
      <c r="AA6" s="21" t="s">
        <v>94</v>
      </c>
      <c r="AB6" s="21" t="s">
        <v>94</v>
      </c>
      <c r="AC6" s="20" t="s">
        <v>93</v>
      </c>
      <c r="AD6" s="20" t="s">
        <v>93</v>
      </c>
      <c r="AE6" s="21" t="s">
        <v>94</v>
      </c>
      <c r="AF6" s="21" t="s">
        <v>94</v>
      </c>
      <c r="AG6" s="21" t="s">
        <v>94</v>
      </c>
      <c r="AH6" s="20" t="s">
        <v>93</v>
      </c>
      <c r="AI6" s="21" t="s">
        <v>94</v>
      </c>
    </row>
    <row r="7" customFormat="false" ht="57.75" hidden="false" customHeight="true" outlineLevel="0" collapsed="false">
      <c r="A7" s="22" t="n">
        <v>6</v>
      </c>
      <c r="B7" s="23" t="s">
        <v>76</v>
      </c>
      <c r="C7" s="22" t="s">
        <v>77</v>
      </c>
      <c r="D7" s="22" t="s">
        <v>78</v>
      </c>
      <c r="E7" s="24" t="s">
        <v>138</v>
      </c>
      <c r="F7" s="22" t="s">
        <v>139</v>
      </c>
      <c r="G7" s="22" t="s">
        <v>140</v>
      </c>
      <c r="H7" s="22" t="s">
        <v>82</v>
      </c>
      <c r="I7" s="22" t="s">
        <v>141</v>
      </c>
      <c r="J7" s="22"/>
      <c r="K7" s="25"/>
      <c r="L7" s="25"/>
      <c r="M7" s="22" t="s">
        <v>99</v>
      </c>
      <c r="N7" s="22"/>
      <c r="O7" s="22"/>
      <c r="P7" s="22"/>
      <c r="Q7" s="22"/>
      <c r="R7" s="22"/>
      <c r="S7" s="22"/>
      <c r="T7" s="22"/>
      <c r="U7" s="22"/>
      <c r="V7" s="22"/>
      <c r="W7" s="22" t="s">
        <v>142</v>
      </c>
      <c r="X7" s="22"/>
      <c r="Y7" s="22" t="s">
        <v>118</v>
      </c>
      <c r="Z7" s="22" t="s">
        <v>143</v>
      </c>
      <c r="AA7" s="21" t="s">
        <v>94</v>
      </c>
      <c r="AB7" s="21" t="s">
        <v>94</v>
      </c>
      <c r="AC7" s="21" t="s">
        <v>94</v>
      </c>
      <c r="AD7" s="21" t="s">
        <v>94</v>
      </c>
      <c r="AE7" s="21" t="s">
        <v>94</v>
      </c>
      <c r="AF7" s="21" t="s">
        <v>94</v>
      </c>
      <c r="AG7" s="21" t="s">
        <v>94</v>
      </c>
      <c r="AH7" s="21" t="s">
        <v>94</v>
      </c>
      <c r="AI7" s="21" t="s">
        <v>94</v>
      </c>
    </row>
    <row r="8" customFormat="false" ht="57.75" hidden="false" customHeight="true" outlineLevel="0" collapsed="false">
      <c r="A8" s="15" t="n">
        <v>7</v>
      </c>
      <c r="B8" s="16" t="s">
        <v>76</v>
      </c>
      <c r="C8" s="15" t="s">
        <v>77</v>
      </c>
      <c r="D8" s="15" t="s">
        <v>78</v>
      </c>
      <c r="E8" s="17" t="s">
        <v>144</v>
      </c>
      <c r="F8" s="15" t="s">
        <v>145</v>
      </c>
      <c r="G8" s="15" t="s">
        <v>146</v>
      </c>
      <c r="H8" s="15" t="s">
        <v>147</v>
      </c>
      <c r="I8" s="15" t="s">
        <v>148</v>
      </c>
      <c r="J8" s="15"/>
      <c r="K8" s="18"/>
      <c r="L8" s="18"/>
      <c r="M8" s="15" t="s">
        <v>94</v>
      </c>
      <c r="N8" s="15"/>
      <c r="O8" s="15"/>
      <c r="P8" s="15"/>
      <c r="Q8" s="15"/>
      <c r="R8" s="15"/>
      <c r="S8" s="15"/>
      <c r="T8" s="15"/>
      <c r="U8" s="15"/>
      <c r="V8" s="15"/>
      <c r="W8" s="15"/>
      <c r="X8" s="15"/>
      <c r="Y8" s="15" t="s">
        <v>149</v>
      </c>
      <c r="Z8" s="15" t="s">
        <v>150</v>
      </c>
      <c r="AA8" s="21" t="s">
        <v>94</v>
      </c>
      <c r="AB8" s="21" t="s">
        <v>94</v>
      </c>
      <c r="AC8" s="21" t="s">
        <v>94</v>
      </c>
      <c r="AD8" s="21" t="s">
        <v>94</v>
      </c>
      <c r="AE8" s="21" t="s">
        <v>94</v>
      </c>
      <c r="AF8" s="21" t="s">
        <v>94</v>
      </c>
      <c r="AG8" s="21" t="s">
        <v>94</v>
      </c>
      <c r="AH8" s="21" t="s">
        <v>94</v>
      </c>
      <c r="AI8" s="21" t="s">
        <v>94</v>
      </c>
    </row>
    <row r="9" customFormat="false" ht="57.75" hidden="false" customHeight="true" outlineLevel="0" collapsed="false">
      <c r="A9" s="22" t="n">
        <v>8</v>
      </c>
      <c r="B9" s="23" t="s">
        <v>76</v>
      </c>
      <c r="C9" s="22" t="s">
        <v>77</v>
      </c>
      <c r="D9" s="22" t="s">
        <v>78</v>
      </c>
      <c r="E9" s="24" t="s">
        <v>151</v>
      </c>
      <c r="F9" s="22" t="s">
        <v>152</v>
      </c>
      <c r="G9" s="22" t="s">
        <v>153</v>
      </c>
      <c r="H9" s="22" t="s">
        <v>82</v>
      </c>
      <c r="I9" s="22" t="s">
        <v>154</v>
      </c>
      <c r="J9" s="22"/>
      <c r="K9" s="25"/>
      <c r="L9" s="25"/>
      <c r="M9" s="22" t="s">
        <v>99</v>
      </c>
      <c r="N9" s="22"/>
      <c r="O9" s="19" t="s">
        <v>155</v>
      </c>
      <c r="P9" s="22"/>
      <c r="Q9" s="22"/>
      <c r="R9" s="19" t="s">
        <v>156</v>
      </c>
      <c r="S9" s="22"/>
      <c r="T9" s="22"/>
      <c r="U9" s="22"/>
      <c r="V9" s="22"/>
      <c r="W9" s="22" t="s">
        <v>157</v>
      </c>
      <c r="X9" s="22"/>
      <c r="Y9" s="22" t="s">
        <v>149</v>
      </c>
      <c r="Z9" s="22" t="s">
        <v>158</v>
      </c>
      <c r="AA9" s="21" t="s">
        <v>94</v>
      </c>
      <c r="AB9" s="20" t="s">
        <v>93</v>
      </c>
      <c r="AC9" s="21" t="s">
        <v>94</v>
      </c>
      <c r="AD9" s="21" t="s">
        <v>94</v>
      </c>
      <c r="AE9" s="20" t="s">
        <v>93</v>
      </c>
      <c r="AF9" s="21" t="s">
        <v>94</v>
      </c>
      <c r="AG9" s="21" t="s">
        <v>94</v>
      </c>
      <c r="AH9" s="21" t="s">
        <v>94</v>
      </c>
      <c r="AI9" s="21" t="s">
        <v>94</v>
      </c>
    </row>
    <row r="10" customFormat="false" ht="57.75" hidden="false" customHeight="true" outlineLevel="0" collapsed="false">
      <c r="A10" s="15" t="n">
        <v>9</v>
      </c>
      <c r="B10" s="16" t="s">
        <v>76</v>
      </c>
      <c r="C10" s="15" t="s">
        <v>77</v>
      </c>
      <c r="D10" s="15" t="s">
        <v>78</v>
      </c>
      <c r="E10" s="17" t="s">
        <v>159</v>
      </c>
      <c r="F10" s="15" t="s">
        <v>160</v>
      </c>
      <c r="G10" s="15" t="s">
        <v>161</v>
      </c>
      <c r="H10" s="15" t="s">
        <v>162</v>
      </c>
      <c r="I10" s="15" t="s">
        <v>163</v>
      </c>
      <c r="J10" s="15"/>
      <c r="K10" s="18"/>
      <c r="L10" s="18"/>
      <c r="M10" s="15" t="s">
        <v>94</v>
      </c>
      <c r="N10" s="15"/>
      <c r="O10" s="19" t="s">
        <v>164</v>
      </c>
      <c r="P10" s="15"/>
      <c r="Q10" s="19" t="s">
        <v>165</v>
      </c>
      <c r="R10" s="19" t="s">
        <v>166</v>
      </c>
      <c r="S10" s="15"/>
      <c r="T10" s="19" t="s">
        <v>167</v>
      </c>
      <c r="U10" s="15"/>
      <c r="V10" s="15"/>
      <c r="W10" s="15"/>
      <c r="X10" s="15"/>
      <c r="Y10" s="15" t="s">
        <v>168</v>
      </c>
      <c r="Z10" s="15" t="s">
        <v>169</v>
      </c>
      <c r="AA10" s="21" t="s">
        <v>94</v>
      </c>
      <c r="AB10" s="20" t="s">
        <v>93</v>
      </c>
      <c r="AC10" s="21" t="s">
        <v>94</v>
      </c>
      <c r="AD10" s="20" t="s">
        <v>93</v>
      </c>
      <c r="AE10" s="20" t="s">
        <v>93</v>
      </c>
      <c r="AF10" s="21" t="s">
        <v>94</v>
      </c>
      <c r="AG10" s="20" t="s">
        <v>93</v>
      </c>
      <c r="AH10" s="21" t="s">
        <v>94</v>
      </c>
      <c r="AI10" s="21" t="s">
        <v>94</v>
      </c>
    </row>
    <row r="11" customFormat="false" ht="57.75" hidden="false" customHeight="true" outlineLevel="0" collapsed="false">
      <c r="A11" s="22" t="n">
        <v>10</v>
      </c>
      <c r="B11" s="23" t="s">
        <v>76</v>
      </c>
      <c r="C11" s="22" t="s">
        <v>77</v>
      </c>
      <c r="D11" s="22" t="s">
        <v>78</v>
      </c>
      <c r="E11" s="24" t="s">
        <v>170</v>
      </c>
      <c r="F11" s="22" t="s">
        <v>171</v>
      </c>
      <c r="G11" s="22" t="s">
        <v>172</v>
      </c>
      <c r="H11" s="22" t="s">
        <v>173</v>
      </c>
      <c r="I11" s="22" t="s">
        <v>174</v>
      </c>
      <c r="J11" s="22"/>
      <c r="K11" s="25"/>
      <c r="L11" s="25"/>
      <c r="M11" s="22" t="s">
        <v>94</v>
      </c>
      <c r="N11" s="22"/>
      <c r="O11" s="19" t="s">
        <v>175</v>
      </c>
      <c r="P11" s="19" t="s">
        <v>176</v>
      </c>
      <c r="Q11" s="22"/>
      <c r="R11" s="19" t="s">
        <v>177</v>
      </c>
      <c r="S11" s="19" t="s">
        <v>178</v>
      </c>
      <c r="T11" s="22"/>
      <c r="U11" s="19" t="s">
        <v>179</v>
      </c>
      <c r="V11" s="22"/>
      <c r="W11" s="22" t="s">
        <v>180</v>
      </c>
      <c r="X11" s="22"/>
      <c r="Y11" s="22" t="s">
        <v>181</v>
      </c>
      <c r="Z11" s="22" t="s">
        <v>182</v>
      </c>
      <c r="AA11" s="21" t="s">
        <v>94</v>
      </c>
      <c r="AB11" s="20" t="s">
        <v>93</v>
      </c>
      <c r="AC11" s="20" t="s">
        <v>93</v>
      </c>
      <c r="AD11" s="21" t="s">
        <v>94</v>
      </c>
      <c r="AE11" s="20" t="s">
        <v>93</v>
      </c>
      <c r="AF11" s="20" t="s">
        <v>93</v>
      </c>
      <c r="AG11" s="21" t="s">
        <v>94</v>
      </c>
      <c r="AH11" s="20" t="s">
        <v>93</v>
      </c>
      <c r="AI11" s="21" t="s">
        <v>94</v>
      </c>
    </row>
    <row r="12" customFormat="false" ht="57.75" hidden="false" customHeight="true" outlineLevel="0" collapsed="false">
      <c r="A12" s="15" t="n">
        <v>11</v>
      </c>
      <c r="B12" s="16" t="s">
        <v>76</v>
      </c>
      <c r="C12" s="15" t="s">
        <v>77</v>
      </c>
      <c r="D12" s="15" t="s">
        <v>78</v>
      </c>
      <c r="E12" s="17" t="s">
        <v>183</v>
      </c>
      <c r="F12" s="15" t="s">
        <v>184</v>
      </c>
      <c r="G12" s="15" t="s">
        <v>185</v>
      </c>
      <c r="H12" s="15" t="s">
        <v>82</v>
      </c>
      <c r="I12" s="15" t="s">
        <v>186</v>
      </c>
      <c r="J12" s="15"/>
      <c r="K12" s="18"/>
      <c r="L12" s="18"/>
      <c r="M12" s="15" t="s">
        <v>99</v>
      </c>
      <c r="N12" s="19" t="s">
        <v>187</v>
      </c>
      <c r="O12" s="19" t="s">
        <v>188</v>
      </c>
      <c r="P12" s="15"/>
      <c r="Q12" s="19" t="s">
        <v>189</v>
      </c>
      <c r="R12" s="19" t="s">
        <v>190</v>
      </c>
      <c r="S12" s="15"/>
      <c r="T12" s="15"/>
      <c r="U12" s="19" t="s">
        <v>191</v>
      </c>
      <c r="V12" s="15"/>
      <c r="W12" s="15" t="s">
        <v>192</v>
      </c>
      <c r="X12" s="15"/>
      <c r="Y12" s="15" t="s">
        <v>193</v>
      </c>
      <c r="Z12" s="15" t="s">
        <v>194</v>
      </c>
      <c r="AA12" s="20" t="s">
        <v>93</v>
      </c>
      <c r="AB12" s="20" t="s">
        <v>93</v>
      </c>
      <c r="AC12" s="21" t="s">
        <v>94</v>
      </c>
      <c r="AD12" s="20" t="s">
        <v>93</v>
      </c>
      <c r="AE12" s="20" t="s">
        <v>93</v>
      </c>
      <c r="AF12" s="21" t="s">
        <v>94</v>
      </c>
      <c r="AG12" s="21" t="s">
        <v>94</v>
      </c>
      <c r="AH12" s="20" t="s">
        <v>93</v>
      </c>
      <c r="AI12" s="21" t="s">
        <v>94</v>
      </c>
    </row>
    <row r="13" customFormat="false" ht="57.75" hidden="false" customHeight="true" outlineLevel="0" collapsed="false">
      <c r="A13" s="22" t="n">
        <v>12</v>
      </c>
      <c r="B13" s="23" t="s">
        <v>76</v>
      </c>
      <c r="C13" s="22" t="s">
        <v>77</v>
      </c>
      <c r="D13" s="22" t="s">
        <v>78</v>
      </c>
      <c r="E13" s="24" t="s">
        <v>195</v>
      </c>
      <c r="F13" s="22" t="s">
        <v>196</v>
      </c>
      <c r="G13" s="22" t="s">
        <v>185</v>
      </c>
      <c r="H13" s="22" t="s">
        <v>82</v>
      </c>
      <c r="I13" s="22" t="s">
        <v>197</v>
      </c>
      <c r="J13" s="22"/>
      <c r="K13" s="25"/>
      <c r="L13" s="25"/>
      <c r="M13" s="22" t="s">
        <v>99</v>
      </c>
      <c r="N13" s="22"/>
      <c r="O13" s="19" t="s">
        <v>198</v>
      </c>
      <c r="P13" s="22"/>
      <c r="Q13" s="19" t="s">
        <v>134</v>
      </c>
      <c r="R13" s="19" t="s">
        <v>199</v>
      </c>
      <c r="S13" s="19" t="s">
        <v>200</v>
      </c>
      <c r="T13" s="22"/>
      <c r="U13" s="19" t="s">
        <v>201</v>
      </c>
      <c r="V13" s="22"/>
      <c r="W13" s="22" t="s">
        <v>202</v>
      </c>
      <c r="X13" s="22"/>
      <c r="Y13" s="22" t="s">
        <v>193</v>
      </c>
      <c r="Z13" s="22"/>
      <c r="AA13" s="21" t="s">
        <v>94</v>
      </c>
      <c r="AB13" s="20" t="s">
        <v>93</v>
      </c>
      <c r="AC13" s="21" t="s">
        <v>94</v>
      </c>
      <c r="AD13" s="20" t="s">
        <v>93</v>
      </c>
      <c r="AE13" s="20" t="s">
        <v>93</v>
      </c>
      <c r="AF13" s="20" t="s">
        <v>93</v>
      </c>
      <c r="AG13" s="21" t="s">
        <v>94</v>
      </c>
      <c r="AH13" s="20" t="s">
        <v>93</v>
      </c>
      <c r="AI13" s="21" t="s">
        <v>94</v>
      </c>
    </row>
    <row r="14" customFormat="false" ht="57.75" hidden="false" customHeight="true" outlineLevel="0" collapsed="false">
      <c r="A14" s="15" t="n">
        <v>13</v>
      </c>
      <c r="B14" s="16" t="s">
        <v>76</v>
      </c>
      <c r="C14" s="15" t="s">
        <v>77</v>
      </c>
      <c r="D14" s="15" t="s">
        <v>78</v>
      </c>
      <c r="E14" s="17" t="s">
        <v>203</v>
      </c>
      <c r="F14" s="15" t="s">
        <v>204</v>
      </c>
      <c r="G14" s="15" t="s">
        <v>205</v>
      </c>
      <c r="H14" s="15" t="s">
        <v>82</v>
      </c>
      <c r="I14" s="15" t="s">
        <v>206</v>
      </c>
      <c r="J14" s="15"/>
      <c r="K14" s="18"/>
      <c r="L14" s="18"/>
      <c r="M14" s="15" t="s">
        <v>99</v>
      </c>
      <c r="N14" s="15"/>
      <c r="O14" s="26" t="s">
        <v>207</v>
      </c>
      <c r="P14" s="15"/>
      <c r="Q14" s="15"/>
      <c r="R14" s="26" t="s">
        <v>208</v>
      </c>
      <c r="S14" s="15"/>
      <c r="T14" s="15"/>
      <c r="U14" s="19" t="s">
        <v>209</v>
      </c>
      <c r="V14" s="15"/>
      <c r="W14" s="15" t="s">
        <v>210</v>
      </c>
      <c r="X14" s="15"/>
      <c r="Y14" s="15" t="s">
        <v>211</v>
      </c>
      <c r="Z14" s="15" t="s">
        <v>212</v>
      </c>
      <c r="AA14" s="21" t="s">
        <v>94</v>
      </c>
      <c r="AB14" s="27" t="s">
        <v>213</v>
      </c>
      <c r="AC14" s="21" t="s">
        <v>94</v>
      </c>
      <c r="AD14" s="21" t="s">
        <v>94</v>
      </c>
      <c r="AE14" s="27" t="s">
        <v>213</v>
      </c>
      <c r="AF14" s="21" t="s">
        <v>94</v>
      </c>
      <c r="AG14" s="21" t="s">
        <v>94</v>
      </c>
      <c r="AH14" s="20" t="s">
        <v>93</v>
      </c>
      <c r="AI14" s="21" t="s">
        <v>94</v>
      </c>
    </row>
    <row r="15" customFormat="false" ht="57.75" hidden="false" customHeight="true" outlineLevel="0" collapsed="false">
      <c r="A15" s="22" t="n">
        <v>14</v>
      </c>
      <c r="B15" s="23" t="s">
        <v>76</v>
      </c>
      <c r="C15" s="22" t="s">
        <v>77</v>
      </c>
      <c r="D15" s="22" t="s">
        <v>78</v>
      </c>
      <c r="E15" s="24" t="s">
        <v>214</v>
      </c>
      <c r="F15" s="22" t="s">
        <v>215</v>
      </c>
      <c r="G15" s="22" t="s">
        <v>216</v>
      </c>
      <c r="H15" s="22" t="s">
        <v>217</v>
      </c>
      <c r="I15" s="22" t="s">
        <v>218</v>
      </c>
      <c r="J15" s="22"/>
      <c r="K15" s="25"/>
      <c r="L15" s="25"/>
      <c r="M15" s="22" t="s">
        <v>94</v>
      </c>
      <c r="N15" s="22"/>
      <c r="O15" s="22"/>
      <c r="P15" s="22"/>
      <c r="Q15" s="19" t="s">
        <v>219</v>
      </c>
      <c r="R15" s="22"/>
      <c r="S15" s="22"/>
      <c r="T15" s="19" t="s">
        <v>219</v>
      </c>
      <c r="U15" s="22"/>
      <c r="V15" s="19" t="s">
        <v>220</v>
      </c>
      <c r="W15" s="22" t="s">
        <v>221</v>
      </c>
      <c r="X15" s="22"/>
      <c r="Y15" s="22" t="s">
        <v>222</v>
      </c>
      <c r="Z15" s="22" t="s">
        <v>223</v>
      </c>
      <c r="AA15" s="21" t="s">
        <v>94</v>
      </c>
      <c r="AB15" s="21" t="s">
        <v>94</v>
      </c>
      <c r="AC15" s="21" t="s">
        <v>94</v>
      </c>
      <c r="AD15" s="20" t="s">
        <v>93</v>
      </c>
      <c r="AE15" s="21" t="s">
        <v>94</v>
      </c>
      <c r="AF15" s="21" t="s">
        <v>94</v>
      </c>
      <c r="AG15" s="20" t="s">
        <v>93</v>
      </c>
      <c r="AH15" s="21" t="s">
        <v>94</v>
      </c>
      <c r="AI15" s="20" t="s">
        <v>93</v>
      </c>
    </row>
    <row r="16" customFormat="false" ht="57.75" hidden="false" customHeight="true" outlineLevel="0" collapsed="false">
      <c r="A16" s="15" t="n">
        <v>15</v>
      </c>
      <c r="B16" s="16" t="s">
        <v>76</v>
      </c>
      <c r="C16" s="15" t="s">
        <v>77</v>
      </c>
      <c r="D16" s="15" t="s">
        <v>78</v>
      </c>
      <c r="E16" s="17" t="s">
        <v>224</v>
      </c>
      <c r="F16" s="15" t="s">
        <v>225</v>
      </c>
      <c r="G16" s="15" t="s">
        <v>226</v>
      </c>
      <c r="H16" s="15" t="s">
        <v>227</v>
      </c>
      <c r="I16" s="15" t="s">
        <v>228</v>
      </c>
      <c r="J16" s="15"/>
      <c r="K16" s="18"/>
      <c r="L16" s="18"/>
      <c r="M16" s="15" t="s">
        <v>94</v>
      </c>
      <c r="N16" s="19" t="s">
        <v>54</v>
      </c>
      <c r="O16" s="19" t="s">
        <v>229</v>
      </c>
      <c r="P16" s="15"/>
      <c r="Q16" s="19" t="s">
        <v>230</v>
      </c>
      <c r="R16" s="19" t="s">
        <v>231</v>
      </c>
      <c r="S16" s="15"/>
      <c r="T16" s="15"/>
      <c r="U16" s="15"/>
      <c r="V16" s="15"/>
      <c r="W16" s="15" t="s">
        <v>232</v>
      </c>
      <c r="X16" s="15"/>
      <c r="Y16" s="15" t="s">
        <v>233</v>
      </c>
      <c r="Z16" s="15" t="s">
        <v>169</v>
      </c>
      <c r="AA16" s="20" t="s">
        <v>93</v>
      </c>
      <c r="AB16" s="20" t="s">
        <v>93</v>
      </c>
      <c r="AC16" s="21" t="s">
        <v>94</v>
      </c>
      <c r="AD16" s="20" t="s">
        <v>93</v>
      </c>
      <c r="AE16" s="20" t="s">
        <v>93</v>
      </c>
      <c r="AF16" s="21" t="s">
        <v>94</v>
      </c>
      <c r="AG16" s="21" t="s">
        <v>94</v>
      </c>
      <c r="AH16" s="21" t="s">
        <v>94</v>
      </c>
      <c r="AI16" s="21" t="s">
        <v>94</v>
      </c>
    </row>
    <row r="17" customFormat="false" ht="57.75" hidden="false" customHeight="true" outlineLevel="0" collapsed="false">
      <c r="A17" s="22" t="n">
        <v>16</v>
      </c>
      <c r="B17" s="23" t="s">
        <v>76</v>
      </c>
      <c r="C17" s="22" t="s">
        <v>77</v>
      </c>
      <c r="D17" s="22" t="s">
        <v>78</v>
      </c>
      <c r="E17" s="24" t="s">
        <v>234</v>
      </c>
      <c r="F17" s="22" t="s">
        <v>235</v>
      </c>
      <c r="G17" s="22" t="s">
        <v>236</v>
      </c>
      <c r="H17" s="22" t="s">
        <v>237</v>
      </c>
      <c r="I17" s="22" t="s">
        <v>238</v>
      </c>
      <c r="J17" s="22" t="s">
        <v>239</v>
      </c>
      <c r="K17" s="25" t="n">
        <v>3624</v>
      </c>
      <c r="L17" s="25" t="n">
        <v>3624</v>
      </c>
      <c r="M17" s="22" t="s">
        <v>94</v>
      </c>
      <c r="N17" s="22"/>
      <c r="O17" s="22"/>
      <c r="P17" s="22"/>
      <c r="Q17" s="19" t="s">
        <v>134</v>
      </c>
      <c r="R17" s="22"/>
      <c r="S17" s="22"/>
      <c r="T17" s="22"/>
      <c r="U17" s="19" t="s">
        <v>240</v>
      </c>
      <c r="V17" s="22"/>
      <c r="W17" s="22" t="s">
        <v>241</v>
      </c>
      <c r="X17" s="22"/>
      <c r="Y17" s="22" t="s">
        <v>233</v>
      </c>
      <c r="Z17" s="22" t="s">
        <v>242</v>
      </c>
      <c r="AA17" s="21" t="s">
        <v>94</v>
      </c>
      <c r="AB17" s="21" t="s">
        <v>94</v>
      </c>
      <c r="AC17" s="21" t="s">
        <v>94</v>
      </c>
      <c r="AD17" s="20" t="s">
        <v>93</v>
      </c>
      <c r="AE17" s="21" t="s">
        <v>94</v>
      </c>
      <c r="AF17" s="21" t="s">
        <v>94</v>
      </c>
      <c r="AG17" s="21" t="s">
        <v>94</v>
      </c>
      <c r="AH17" s="20" t="s">
        <v>93</v>
      </c>
      <c r="AI17" s="21" t="s">
        <v>94</v>
      </c>
    </row>
    <row r="18" customFormat="false" ht="57.75" hidden="false" customHeight="true" outlineLevel="0" collapsed="false">
      <c r="A18" s="15" t="n">
        <v>17</v>
      </c>
      <c r="B18" s="16" t="s">
        <v>76</v>
      </c>
      <c r="C18" s="15" t="s">
        <v>77</v>
      </c>
      <c r="D18" s="15" t="s">
        <v>78</v>
      </c>
      <c r="E18" s="17" t="s">
        <v>243</v>
      </c>
      <c r="F18" s="15" t="s">
        <v>244</v>
      </c>
      <c r="G18" s="15" t="s">
        <v>245</v>
      </c>
      <c r="H18" s="15" t="s">
        <v>217</v>
      </c>
      <c r="I18" s="15" t="s">
        <v>246</v>
      </c>
      <c r="J18" s="15"/>
      <c r="K18" s="18"/>
      <c r="L18" s="18"/>
      <c r="M18" s="15" t="s">
        <v>94</v>
      </c>
      <c r="N18" s="15"/>
      <c r="O18" s="19" t="s">
        <v>247</v>
      </c>
      <c r="P18" s="15"/>
      <c r="Q18" s="15"/>
      <c r="R18" s="19" t="s">
        <v>248</v>
      </c>
      <c r="S18" s="15"/>
      <c r="T18" s="15"/>
      <c r="U18" s="15"/>
      <c r="V18" s="15"/>
      <c r="W18" s="15" t="s">
        <v>249</v>
      </c>
      <c r="X18" s="15" t="s">
        <v>250</v>
      </c>
      <c r="Y18" s="15" t="s">
        <v>251</v>
      </c>
      <c r="Z18" s="15" t="s">
        <v>252</v>
      </c>
      <c r="AA18" s="21" t="s">
        <v>94</v>
      </c>
      <c r="AB18" s="20" t="s">
        <v>93</v>
      </c>
      <c r="AC18" s="21" t="s">
        <v>94</v>
      </c>
      <c r="AD18" s="21" t="s">
        <v>94</v>
      </c>
      <c r="AE18" s="20" t="s">
        <v>93</v>
      </c>
      <c r="AF18" s="21" t="s">
        <v>94</v>
      </c>
      <c r="AG18" s="21" t="s">
        <v>94</v>
      </c>
      <c r="AH18" s="21" t="s">
        <v>94</v>
      </c>
      <c r="AI18" s="21" t="s">
        <v>94</v>
      </c>
    </row>
    <row r="19" customFormat="false" ht="57.75" hidden="false" customHeight="true" outlineLevel="0" collapsed="false">
      <c r="A19" s="22" t="n">
        <v>18</v>
      </c>
      <c r="B19" s="23" t="s">
        <v>76</v>
      </c>
      <c r="C19" s="22" t="s">
        <v>77</v>
      </c>
      <c r="D19" s="22" t="s">
        <v>78</v>
      </c>
      <c r="E19" s="24" t="s">
        <v>253</v>
      </c>
      <c r="F19" s="22" t="s">
        <v>254</v>
      </c>
      <c r="G19" s="22" t="s">
        <v>255</v>
      </c>
      <c r="H19" s="22" t="s">
        <v>227</v>
      </c>
      <c r="I19" s="22" t="s">
        <v>256</v>
      </c>
      <c r="J19" s="22" t="s">
        <v>257</v>
      </c>
      <c r="K19" s="25" t="n">
        <v>3125</v>
      </c>
      <c r="L19" s="25" t="n">
        <v>4045</v>
      </c>
      <c r="M19" s="22" t="s">
        <v>94</v>
      </c>
      <c r="N19" s="22"/>
      <c r="O19" s="22"/>
      <c r="P19" s="22"/>
      <c r="Q19" s="22"/>
      <c r="R19" s="22"/>
      <c r="S19" s="22"/>
      <c r="T19" s="22"/>
      <c r="U19" s="22"/>
      <c r="V19" s="22"/>
      <c r="W19" s="22"/>
      <c r="X19" s="22"/>
      <c r="Y19" s="22" t="s">
        <v>258</v>
      </c>
      <c r="Z19" s="22" t="s">
        <v>259</v>
      </c>
      <c r="AA19" s="21" t="s">
        <v>94</v>
      </c>
      <c r="AB19" s="21" t="s">
        <v>94</v>
      </c>
      <c r="AC19" s="21" t="s">
        <v>94</v>
      </c>
      <c r="AD19" s="21" t="s">
        <v>94</v>
      </c>
      <c r="AE19" s="21" t="s">
        <v>94</v>
      </c>
      <c r="AF19" s="21" t="s">
        <v>94</v>
      </c>
      <c r="AG19" s="21" t="s">
        <v>94</v>
      </c>
      <c r="AH19" s="21" t="s">
        <v>94</v>
      </c>
      <c r="AI19" s="21" t="s">
        <v>94</v>
      </c>
    </row>
    <row r="20" customFormat="false" ht="57.75" hidden="false" customHeight="true" outlineLevel="0" collapsed="false">
      <c r="A20" s="15" t="n">
        <v>19</v>
      </c>
      <c r="B20" s="16" t="s">
        <v>76</v>
      </c>
      <c r="C20" s="15" t="s">
        <v>77</v>
      </c>
      <c r="D20" s="15" t="s">
        <v>78</v>
      </c>
      <c r="E20" s="17" t="s">
        <v>260</v>
      </c>
      <c r="F20" s="15" t="s">
        <v>261</v>
      </c>
      <c r="G20" s="15" t="s">
        <v>262</v>
      </c>
      <c r="H20" s="15" t="s">
        <v>263</v>
      </c>
      <c r="I20" s="15" t="s">
        <v>264</v>
      </c>
      <c r="J20" s="15"/>
      <c r="K20" s="18"/>
      <c r="L20" s="18"/>
      <c r="M20" s="15" t="s">
        <v>94</v>
      </c>
      <c r="N20" s="15"/>
      <c r="O20" s="15"/>
      <c r="P20" s="19" t="s">
        <v>265</v>
      </c>
      <c r="Q20" s="15"/>
      <c r="R20" s="15"/>
      <c r="S20" s="15"/>
      <c r="T20" s="15"/>
      <c r="U20" s="19" t="s">
        <v>266</v>
      </c>
      <c r="V20" s="15"/>
      <c r="W20" s="15" t="s">
        <v>267</v>
      </c>
      <c r="X20" s="15"/>
      <c r="Y20" s="15" t="s">
        <v>258</v>
      </c>
      <c r="Z20" s="15" t="s">
        <v>223</v>
      </c>
      <c r="AA20" s="21" t="s">
        <v>94</v>
      </c>
      <c r="AB20" s="21" t="s">
        <v>94</v>
      </c>
      <c r="AC20" s="20" t="s">
        <v>93</v>
      </c>
      <c r="AD20" s="21" t="s">
        <v>94</v>
      </c>
      <c r="AE20" s="21" t="s">
        <v>94</v>
      </c>
      <c r="AF20" s="21" t="s">
        <v>94</v>
      </c>
      <c r="AG20" s="21" t="s">
        <v>94</v>
      </c>
      <c r="AH20" s="20" t="s">
        <v>93</v>
      </c>
      <c r="AI20" s="21" t="s">
        <v>94</v>
      </c>
    </row>
    <row r="21" customFormat="false" ht="57.75" hidden="false" customHeight="true" outlineLevel="0" collapsed="false">
      <c r="A21" s="22" t="n">
        <v>20</v>
      </c>
      <c r="B21" s="23" t="s">
        <v>76</v>
      </c>
      <c r="C21" s="22" t="s">
        <v>77</v>
      </c>
      <c r="D21" s="22" t="s">
        <v>78</v>
      </c>
      <c r="E21" s="24" t="s">
        <v>268</v>
      </c>
      <c r="F21" s="22" t="s">
        <v>269</v>
      </c>
      <c r="G21" s="22" t="s">
        <v>270</v>
      </c>
      <c r="H21" s="22" t="s">
        <v>263</v>
      </c>
      <c r="I21" s="22" t="s">
        <v>271</v>
      </c>
      <c r="J21" s="22" t="s">
        <v>272</v>
      </c>
      <c r="K21" s="25" t="n">
        <v>4149</v>
      </c>
      <c r="L21" s="25" t="n">
        <v>4149</v>
      </c>
      <c r="M21" s="22" t="s">
        <v>94</v>
      </c>
      <c r="N21" s="22"/>
      <c r="O21" s="19" t="s">
        <v>273</v>
      </c>
      <c r="P21" s="22"/>
      <c r="Q21" s="22"/>
      <c r="R21" s="19" t="s">
        <v>274</v>
      </c>
      <c r="S21" s="22"/>
      <c r="T21" s="22"/>
      <c r="U21" s="19" t="s">
        <v>275</v>
      </c>
      <c r="V21" s="22"/>
      <c r="W21" s="22" t="s">
        <v>276</v>
      </c>
      <c r="X21" s="22"/>
      <c r="Y21" s="22" t="s">
        <v>258</v>
      </c>
      <c r="Z21" s="22"/>
      <c r="AA21" s="21" t="s">
        <v>94</v>
      </c>
      <c r="AB21" s="20" t="s">
        <v>93</v>
      </c>
      <c r="AC21" s="21" t="s">
        <v>94</v>
      </c>
      <c r="AD21" s="21" t="s">
        <v>94</v>
      </c>
      <c r="AE21" s="20" t="s">
        <v>93</v>
      </c>
      <c r="AF21" s="21" t="s">
        <v>94</v>
      </c>
      <c r="AG21" s="21" t="s">
        <v>94</v>
      </c>
      <c r="AH21" s="20" t="s">
        <v>93</v>
      </c>
      <c r="AI21" s="21" t="s">
        <v>94</v>
      </c>
    </row>
    <row r="22" customFormat="false" ht="57.75" hidden="false" customHeight="true" outlineLevel="0" collapsed="false">
      <c r="A22" s="15" t="n">
        <v>21</v>
      </c>
      <c r="B22" s="16" t="s">
        <v>76</v>
      </c>
      <c r="C22" s="15" t="s">
        <v>77</v>
      </c>
      <c r="D22" s="15" t="s">
        <v>78</v>
      </c>
      <c r="E22" s="17" t="s">
        <v>277</v>
      </c>
      <c r="F22" s="15" t="s">
        <v>278</v>
      </c>
      <c r="G22" s="15" t="s">
        <v>255</v>
      </c>
      <c r="H22" s="15" t="s">
        <v>82</v>
      </c>
      <c r="I22" s="15" t="s">
        <v>279</v>
      </c>
      <c r="J22" s="15"/>
      <c r="K22" s="18"/>
      <c r="L22" s="18"/>
      <c r="M22" s="15" t="s">
        <v>99</v>
      </c>
      <c r="N22" s="15"/>
      <c r="O22" s="19" t="s">
        <v>280</v>
      </c>
      <c r="P22" s="26" t="s">
        <v>281</v>
      </c>
      <c r="Q22" s="15"/>
      <c r="R22" s="19" t="s">
        <v>282</v>
      </c>
      <c r="S22" s="15"/>
      <c r="T22" s="15"/>
      <c r="U22" s="15"/>
      <c r="V22" s="15"/>
      <c r="W22" s="15" t="s">
        <v>283</v>
      </c>
      <c r="X22" s="15"/>
      <c r="Y22" s="15" t="s">
        <v>258</v>
      </c>
      <c r="Z22" s="15" t="s">
        <v>284</v>
      </c>
      <c r="AA22" s="21" t="s">
        <v>94</v>
      </c>
      <c r="AB22" s="20" t="s">
        <v>93</v>
      </c>
      <c r="AC22" s="27" t="s">
        <v>213</v>
      </c>
      <c r="AD22" s="21" t="s">
        <v>94</v>
      </c>
      <c r="AE22" s="20" t="s">
        <v>93</v>
      </c>
      <c r="AF22" s="21" t="s">
        <v>94</v>
      </c>
      <c r="AG22" s="21" t="s">
        <v>94</v>
      </c>
      <c r="AH22" s="21" t="s">
        <v>94</v>
      </c>
      <c r="AI22" s="21" t="s">
        <v>94</v>
      </c>
    </row>
    <row r="23" customFormat="false" ht="57.75" hidden="false" customHeight="true" outlineLevel="0" collapsed="false">
      <c r="A23" s="22" t="n">
        <v>22</v>
      </c>
      <c r="B23" s="23" t="s">
        <v>76</v>
      </c>
      <c r="C23" s="22" t="s">
        <v>77</v>
      </c>
      <c r="D23" s="22" t="s">
        <v>78</v>
      </c>
      <c r="E23" s="24" t="s">
        <v>285</v>
      </c>
      <c r="F23" s="22" t="s">
        <v>278</v>
      </c>
      <c r="G23" s="22" t="s">
        <v>255</v>
      </c>
      <c r="H23" s="22" t="s">
        <v>82</v>
      </c>
      <c r="I23" s="22" t="s">
        <v>286</v>
      </c>
      <c r="J23" s="22"/>
      <c r="K23" s="25"/>
      <c r="L23" s="25"/>
      <c r="M23" s="22" t="s">
        <v>99</v>
      </c>
      <c r="N23" s="22"/>
      <c r="O23" s="19" t="s">
        <v>287</v>
      </c>
      <c r="P23" s="22"/>
      <c r="Q23" s="22"/>
      <c r="R23" s="19" t="s">
        <v>288</v>
      </c>
      <c r="S23" s="22"/>
      <c r="T23" s="22"/>
      <c r="U23" s="22"/>
      <c r="V23" s="22"/>
      <c r="W23" s="22" t="s">
        <v>289</v>
      </c>
      <c r="X23" s="22"/>
      <c r="Y23" s="22" t="s">
        <v>258</v>
      </c>
      <c r="Z23" s="22" t="s">
        <v>150</v>
      </c>
      <c r="AA23" s="21" t="s">
        <v>94</v>
      </c>
      <c r="AB23" s="20" t="s">
        <v>93</v>
      </c>
      <c r="AC23" s="21" t="s">
        <v>94</v>
      </c>
      <c r="AD23" s="21" t="s">
        <v>94</v>
      </c>
      <c r="AE23" s="20" t="s">
        <v>93</v>
      </c>
      <c r="AF23" s="21" t="s">
        <v>94</v>
      </c>
      <c r="AG23" s="21" t="s">
        <v>94</v>
      </c>
      <c r="AH23" s="21" t="s">
        <v>94</v>
      </c>
      <c r="AI23" s="21" t="s">
        <v>94</v>
      </c>
    </row>
    <row r="24" customFormat="false" ht="57.75" hidden="false" customHeight="true" outlineLevel="0" collapsed="false">
      <c r="A24" s="15" t="n">
        <v>23</v>
      </c>
      <c r="B24" s="16" t="s">
        <v>76</v>
      </c>
      <c r="C24" s="15" t="s">
        <v>77</v>
      </c>
      <c r="D24" s="15" t="s">
        <v>78</v>
      </c>
      <c r="E24" s="17" t="s">
        <v>290</v>
      </c>
      <c r="F24" s="15" t="s">
        <v>291</v>
      </c>
      <c r="G24" s="15" t="s">
        <v>292</v>
      </c>
      <c r="H24" s="15" t="s">
        <v>82</v>
      </c>
      <c r="I24" s="15" t="s">
        <v>293</v>
      </c>
      <c r="J24" s="15"/>
      <c r="K24" s="18"/>
      <c r="L24" s="18"/>
      <c r="M24" s="15" t="s">
        <v>99</v>
      </c>
      <c r="N24" s="15"/>
      <c r="O24" s="19" t="s">
        <v>294</v>
      </c>
      <c r="P24" s="15"/>
      <c r="Q24" s="15"/>
      <c r="R24" s="19" t="s">
        <v>295</v>
      </c>
      <c r="S24" s="19" t="s">
        <v>200</v>
      </c>
      <c r="T24" s="15"/>
      <c r="U24" s="15"/>
      <c r="V24" s="15"/>
      <c r="W24" s="15" t="s">
        <v>296</v>
      </c>
      <c r="X24" s="15"/>
      <c r="Y24" s="15" t="s">
        <v>258</v>
      </c>
      <c r="Z24" s="15" t="s">
        <v>297</v>
      </c>
      <c r="AA24" s="21" t="s">
        <v>94</v>
      </c>
      <c r="AB24" s="20" t="s">
        <v>93</v>
      </c>
      <c r="AC24" s="21" t="s">
        <v>94</v>
      </c>
      <c r="AD24" s="21" t="s">
        <v>94</v>
      </c>
      <c r="AE24" s="20" t="s">
        <v>93</v>
      </c>
      <c r="AF24" s="20" t="s">
        <v>93</v>
      </c>
      <c r="AG24" s="21" t="s">
        <v>94</v>
      </c>
      <c r="AH24" s="21" t="s">
        <v>94</v>
      </c>
      <c r="AI24" s="21" t="s">
        <v>94</v>
      </c>
    </row>
    <row r="25" customFormat="false" ht="57.75" hidden="false" customHeight="true" outlineLevel="0" collapsed="false">
      <c r="A25" s="22" t="n">
        <v>24</v>
      </c>
      <c r="B25" s="23" t="s">
        <v>76</v>
      </c>
      <c r="C25" s="22" t="s">
        <v>77</v>
      </c>
      <c r="D25" s="22" t="s">
        <v>78</v>
      </c>
      <c r="E25" s="24" t="s">
        <v>298</v>
      </c>
      <c r="F25" s="22" t="s">
        <v>269</v>
      </c>
      <c r="G25" s="22" t="s">
        <v>299</v>
      </c>
      <c r="H25" s="22" t="s">
        <v>263</v>
      </c>
      <c r="I25" s="22" t="s">
        <v>300</v>
      </c>
      <c r="J25" s="22" t="s">
        <v>301</v>
      </c>
      <c r="K25" s="25" t="n">
        <v>5219</v>
      </c>
      <c r="L25" s="25" t="n">
        <v>5219</v>
      </c>
      <c r="M25" s="22" t="s">
        <v>94</v>
      </c>
      <c r="N25" s="22"/>
      <c r="O25" s="19" t="s">
        <v>273</v>
      </c>
      <c r="P25" s="22"/>
      <c r="Q25" s="22"/>
      <c r="R25" s="19" t="s">
        <v>274</v>
      </c>
      <c r="S25" s="22"/>
      <c r="T25" s="22"/>
      <c r="U25" s="19" t="s">
        <v>275</v>
      </c>
      <c r="V25" s="22"/>
      <c r="W25" s="22" t="s">
        <v>302</v>
      </c>
      <c r="X25" s="22"/>
      <c r="Y25" s="22" t="s">
        <v>258</v>
      </c>
      <c r="Z25" s="22"/>
      <c r="AA25" s="21" t="s">
        <v>94</v>
      </c>
      <c r="AB25" s="20" t="s">
        <v>93</v>
      </c>
      <c r="AC25" s="21" t="s">
        <v>94</v>
      </c>
      <c r="AD25" s="21" t="s">
        <v>94</v>
      </c>
      <c r="AE25" s="20" t="s">
        <v>93</v>
      </c>
      <c r="AF25" s="21" t="s">
        <v>94</v>
      </c>
      <c r="AG25" s="21" t="s">
        <v>94</v>
      </c>
      <c r="AH25" s="20" t="s">
        <v>93</v>
      </c>
      <c r="AI25" s="21" t="s">
        <v>94</v>
      </c>
    </row>
    <row r="26" customFormat="false" ht="57.75" hidden="false" customHeight="true" outlineLevel="0" collapsed="false">
      <c r="A26" s="15" t="n">
        <v>25</v>
      </c>
      <c r="B26" s="16" t="s">
        <v>76</v>
      </c>
      <c r="C26" s="15" t="s">
        <v>77</v>
      </c>
      <c r="D26" s="15" t="s">
        <v>78</v>
      </c>
      <c r="E26" s="17" t="s">
        <v>303</v>
      </c>
      <c r="F26" s="15" t="s">
        <v>244</v>
      </c>
      <c r="G26" s="15" t="s">
        <v>304</v>
      </c>
      <c r="H26" s="15" t="s">
        <v>227</v>
      </c>
      <c r="I26" s="15" t="s">
        <v>305</v>
      </c>
      <c r="J26" s="15"/>
      <c r="K26" s="18"/>
      <c r="L26" s="18"/>
      <c r="M26" s="15" t="s">
        <v>94</v>
      </c>
      <c r="N26" s="15"/>
      <c r="O26" s="19" t="s">
        <v>247</v>
      </c>
      <c r="P26" s="15"/>
      <c r="Q26" s="15"/>
      <c r="R26" s="19" t="s">
        <v>248</v>
      </c>
      <c r="S26" s="15"/>
      <c r="T26" s="15"/>
      <c r="U26" s="15"/>
      <c r="V26" s="15"/>
      <c r="W26" s="15" t="s">
        <v>249</v>
      </c>
      <c r="X26" s="15" t="s">
        <v>250</v>
      </c>
      <c r="Y26" s="15" t="s">
        <v>251</v>
      </c>
      <c r="Z26" s="15" t="s">
        <v>223</v>
      </c>
      <c r="AA26" s="21" t="s">
        <v>94</v>
      </c>
      <c r="AB26" s="20" t="s">
        <v>93</v>
      </c>
      <c r="AC26" s="21" t="s">
        <v>94</v>
      </c>
      <c r="AD26" s="21" t="s">
        <v>94</v>
      </c>
      <c r="AE26" s="20" t="s">
        <v>93</v>
      </c>
      <c r="AF26" s="21" t="s">
        <v>94</v>
      </c>
      <c r="AG26" s="21" t="s">
        <v>94</v>
      </c>
      <c r="AH26" s="21" t="s">
        <v>94</v>
      </c>
      <c r="AI26" s="21" t="s">
        <v>94</v>
      </c>
    </row>
    <row r="27" customFormat="false" ht="57.75" hidden="false" customHeight="true" outlineLevel="0" collapsed="false">
      <c r="A27" s="22" t="n">
        <v>26</v>
      </c>
      <c r="B27" s="23" t="s">
        <v>76</v>
      </c>
      <c r="C27" s="22" t="s">
        <v>77</v>
      </c>
      <c r="D27" s="22" t="s">
        <v>78</v>
      </c>
      <c r="E27" s="24" t="s">
        <v>306</v>
      </c>
      <c r="F27" s="22" t="s">
        <v>307</v>
      </c>
      <c r="G27" s="22" t="s">
        <v>308</v>
      </c>
      <c r="H27" s="22" t="s">
        <v>82</v>
      </c>
      <c r="I27" s="22" t="s">
        <v>309</v>
      </c>
      <c r="J27" s="22"/>
      <c r="K27" s="25"/>
      <c r="L27" s="25"/>
      <c r="M27" s="22" t="s">
        <v>99</v>
      </c>
      <c r="N27" s="22"/>
      <c r="O27" s="19" t="s">
        <v>310</v>
      </c>
      <c r="P27" s="19" t="s">
        <v>311</v>
      </c>
      <c r="Q27" s="22"/>
      <c r="R27" s="19" t="s">
        <v>312</v>
      </c>
      <c r="S27" s="22"/>
      <c r="T27" s="22"/>
      <c r="U27" s="19" t="s">
        <v>313</v>
      </c>
      <c r="V27" s="22"/>
      <c r="W27" s="22" t="s">
        <v>221</v>
      </c>
      <c r="X27" s="22"/>
      <c r="Y27" s="22" t="s">
        <v>251</v>
      </c>
      <c r="Z27" s="22" t="s">
        <v>314</v>
      </c>
      <c r="AA27" s="21" t="s">
        <v>94</v>
      </c>
      <c r="AB27" s="20" t="s">
        <v>93</v>
      </c>
      <c r="AC27" s="20" t="s">
        <v>93</v>
      </c>
      <c r="AD27" s="21" t="s">
        <v>94</v>
      </c>
      <c r="AE27" s="20" t="s">
        <v>93</v>
      </c>
      <c r="AF27" s="21" t="s">
        <v>94</v>
      </c>
      <c r="AG27" s="21" t="s">
        <v>94</v>
      </c>
      <c r="AH27" s="20" t="s">
        <v>93</v>
      </c>
      <c r="AI27" s="21" t="s">
        <v>94</v>
      </c>
    </row>
    <row r="28" customFormat="false" ht="57.75" hidden="false" customHeight="true" outlineLevel="0" collapsed="false">
      <c r="A28" s="15" t="n">
        <v>27</v>
      </c>
      <c r="B28" s="16" t="s">
        <v>76</v>
      </c>
      <c r="C28" s="15" t="s">
        <v>77</v>
      </c>
      <c r="D28" s="15" t="s">
        <v>78</v>
      </c>
      <c r="E28" s="17" t="s">
        <v>315</v>
      </c>
      <c r="F28" s="15" t="s">
        <v>316</v>
      </c>
      <c r="G28" s="15" t="s">
        <v>317</v>
      </c>
      <c r="H28" s="15" t="s">
        <v>217</v>
      </c>
      <c r="I28" s="15" t="s">
        <v>318</v>
      </c>
      <c r="J28" s="15"/>
      <c r="K28" s="18"/>
      <c r="L28" s="18"/>
      <c r="M28" s="15" t="s">
        <v>94</v>
      </c>
      <c r="N28" s="15"/>
      <c r="O28" s="15"/>
      <c r="P28" s="15"/>
      <c r="Q28" s="19" t="s">
        <v>219</v>
      </c>
      <c r="R28" s="15"/>
      <c r="S28" s="15"/>
      <c r="T28" s="19" t="s">
        <v>219</v>
      </c>
      <c r="U28" s="15"/>
      <c r="V28" s="19" t="s">
        <v>319</v>
      </c>
      <c r="W28" s="15" t="s">
        <v>221</v>
      </c>
      <c r="X28" s="15"/>
      <c r="Y28" s="15" t="s">
        <v>320</v>
      </c>
      <c r="Z28" s="15" t="s">
        <v>321</v>
      </c>
      <c r="AA28" s="21" t="s">
        <v>94</v>
      </c>
      <c r="AB28" s="21" t="s">
        <v>94</v>
      </c>
      <c r="AC28" s="21" t="s">
        <v>94</v>
      </c>
      <c r="AD28" s="20" t="s">
        <v>93</v>
      </c>
      <c r="AE28" s="21" t="s">
        <v>94</v>
      </c>
      <c r="AF28" s="21" t="s">
        <v>94</v>
      </c>
      <c r="AG28" s="20" t="s">
        <v>93</v>
      </c>
      <c r="AH28" s="21" t="s">
        <v>94</v>
      </c>
      <c r="AI28" s="20" t="s">
        <v>93</v>
      </c>
    </row>
    <row r="29" customFormat="false" ht="57.75" hidden="false" customHeight="true" outlineLevel="0" collapsed="false">
      <c r="A29" s="22" t="n">
        <v>28</v>
      </c>
      <c r="B29" s="23" t="s">
        <v>76</v>
      </c>
      <c r="C29" s="22" t="s">
        <v>77</v>
      </c>
      <c r="D29" s="22" t="s">
        <v>78</v>
      </c>
      <c r="E29" s="24" t="s">
        <v>322</v>
      </c>
      <c r="F29" s="22" t="s">
        <v>323</v>
      </c>
      <c r="G29" s="22" t="s">
        <v>324</v>
      </c>
      <c r="H29" s="22" t="s">
        <v>227</v>
      </c>
      <c r="I29" s="22" t="s">
        <v>325</v>
      </c>
      <c r="J29" s="22"/>
      <c r="K29" s="25"/>
      <c r="L29" s="25"/>
      <c r="M29" s="22" t="s">
        <v>94</v>
      </c>
      <c r="N29" s="22"/>
      <c r="O29" s="19" t="s">
        <v>326</v>
      </c>
      <c r="P29" s="22"/>
      <c r="Q29" s="22"/>
      <c r="R29" s="19" t="s">
        <v>327</v>
      </c>
      <c r="S29" s="19" t="s">
        <v>328</v>
      </c>
      <c r="T29" s="22"/>
      <c r="U29" s="19" t="s">
        <v>329</v>
      </c>
      <c r="V29" s="22"/>
      <c r="W29" s="22" t="s">
        <v>330</v>
      </c>
      <c r="X29" s="22"/>
      <c r="Y29" s="22" t="s">
        <v>331</v>
      </c>
      <c r="Z29" s="22"/>
      <c r="AA29" s="21" t="s">
        <v>94</v>
      </c>
      <c r="AB29" s="20" t="s">
        <v>93</v>
      </c>
      <c r="AC29" s="21" t="s">
        <v>94</v>
      </c>
      <c r="AD29" s="21" t="s">
        <v>94</v>
      </c>
      <c r="AE29" s="20" t="s">
        <v>93</v>
      </c>
      <c r="AF29" s="20" t="s">
        <v>93</v>
      </c>
      <c r="AG29" s="21" t="s">
        <v>94</v>
      </c>
      <c r="AH29" s="20" t="s">
        <v>93</v>
      </c>
      <c r="AI29" s="21" t="s">
        <v>94</v>
      </c>
    </row>
    <row r="30" customFormat="false" ht="57.75" hidden="false" customHeight="true" outlineLevel="0" collapsed="false">
      <c r="A30" s="15" t="n">
        <v>29</v>
      </c>
      <c r="B30" s="16" t="s">
        <v>76</v>
      </c>
      <c r="C30" s="15" t="s">
        <v>77</v>
      </c>
      <c r="D30" s="15" t="s">
        <v>78</v>
      </c>
      <c r="E30" s="17" t="s">
        <v>332</v>
      </c>
      <c r="F30" s="15" t="s">
        <v>333</v>
      </c>
      <c r="G30" s="15" t="s">
        <v>334</v>
      </c>
      <c r="H30" s="15" t="s">
        <v>227</v>
      </c>
      <c r="I30" s="15" t="s">
        <v>335</v>
      </c>
      <c r="J30" s="15"/>
      <c r="K30" s="18"/>
      <c r="L30" s="18"/>
      <c r="M30" s="15" t="s">
        <v>94</v>
      </c>
      <c r="N30" s="19" t="s">
        <v>54</v>
      </c>
      <c r="O30" s="19" t="s">
        <v>336</v>
      </c>
      <c r="P30" s="19" t="s">
        <v>337</v>
      </c>
      <c r="Q30" s="15"/>
      <c r="R30" s="19" t="s">
        <v>338</v>
      </c>
      <c r="S30" s="15"/>
      <c r="T30" s="15"/>
      <c r="U30" s="19" t="s">
        <v>339</v>
      </c>
      <c r="V30" s="15"/>
      <c r="W30" s="15" t="s">
        <v>340</v>
      </c>
      <c r="X30" s="15"/>
      <c r="Y30" s="15" t="s">
        <v>331</v>
      </c>
      <c r="Z30" s="15" t="s">
        <v>341</v>
      </c>
      <c r="AA30" s="20" t="s">
        <v>93</v>
      </c>
      <c r="AB30" s="20" t="s">
        <v>93</v>
      </c>
      <c r="AC30" s="20" t="s">
        <v>93</v>
      </c>
      <c r="AD30" s="21" t="s">
        <v>94</v>
      </c>
      <c r="AE30" s="20" t="s">
        <v>93</v>
      </c>
      <c r="AF30" s="21" t="s">
        <v>94</v>
      </c>
      <c r="AG30" s="21" t="s">
        <v>94</v>
      </c>
      <c r="AH30" s="20" t="s">
        <v>93</v>
      </c>
      <c r="AI30" s="21" t="s">
        <v>94</v>
      </c>
    </row>
    <row r="31" customFormat="false" ht="57.75" hidden="false" customHeight="true" outlineLevel="0" collapsed="false">
      <c r="A31" s="22" t="n">
        <v>30</v>
      </c>
      <c r="B31" s="23" t="s">
        <v>76</v>
      </c>
      <c r="C31" s="22" t="s">
        <v>77</v>
      </c>
      <c r="D31" s="22" t="s">
        <v>78</v>
      </c>
      <c r="E31" s="24" t="s">
        <v>342</v>
      </c>
      <c r="F31" s="22" t="s">
        <v>343</v>
      </c>
      <c r="G31" s="22" t="s">
        <v>344</v>
      </c>
      <c r="H31" s="22" t="s">
        <v>82</v>
      </c>
      <c r="I31" s="22" t="s">
        <v>345</v>
      </c>
      <c r="J31" s="22"/>
      <c r="K31" s="25"/>
      <c r="L31" s="25"/>
      <c r="M31" s="22" t="s">
        <v>99</v>
      </c>
      <c r="N31" s="22"/>
      <c r="O31" s="19" t="s">
        <v>346</v>
      </c>
      <c r="P31" s="22"/>
      <c r="Q31" s="22"/>
      <c r="R31" s="19" t="s">
        <v>347</v>
      </c>
      <c r="S31" s="22"/>
      <c r="T31" s="22"/>
      <c r="U31" s="19" t="s">
        <v>348</v>
      </c>
      <c r="V31" s="22"/>
      <c r="W31" s="22" t="s">
        <v>349</v>
      </c>
      <c r="X31" s="22"/>
      <c r="Y31" s="22" t="s">
        <v>350</v>
      </c>
      <c r="Z31" s="22" t="s">
        <v>297</v>
      </c>
      <c r="AA31" s="21" t="s">
        <v>94</v>
      </c>
      <c r="AB31" s="20" t="s">
        <v>93</v>
      </c>
      <c r="AC31" s="21" t="s">
        <v>94</v>
      </c>
      <c r="AD31" s="21" t="s">
        <v>94</v>
      </c>
      <c r="AE31" s="20" t="s">
        <v>93</v>
      </c>
      <c r="AF31" s="21" t="s">
        <v>94</v>
      </c>
      <c r="AG31" s="21" t="s">
        <v>94</v>
      </c>
      <c r="AH31" s="20" t="s">
        <v>93</v>
      </c>
      <c r="AI31" s="21" t="s">
        <v>94</v>
      </c>
    </row>
    <row r="32" customFormat="false" ht="57.75" hidden="false" customHeight="true" outlineLevel="0" collapsed="false">
      <c r="A32" s="15" t="n">
        <v>31</v>
      </c>
      <c r="B32" s="16" t="s">
        <v>76</v>
      </c>
      <c r="C32" s="15" t="s">
        <v>77</v>
      </c>
      <c r="D32" s="15" t="s">
        <v>78</v>
      </c>
      <c r="E32" s="17" t="s">
        <v>351</v>
      </c>
      <c r="F32" s="15" t="s">
        <v>352</v>
      </c>
      <c r="G32" s="15" t="s">
        <v>344</v>
      </c>
      <c r="H32" s="15" t="s">
        <v>227</v>
      </c>
      <c r="I32" s="15" t="s">
        <v>353</v>
      </c>
      <c r="J32" s="15"/>
      <c r="K32" s="18"/>
      <c r="L32" s="18"/>
      <c r="M32" s="15" t="s">
        <v>94</v>
      </c>
      <c r="N32" s="15"/>
      <c r="O32" s="19" t="s">
        <v>354</v>
      </c>
      <c r="P32" s="15"/>
      <c r="Q32" s="15"/>
      <c r="R32" s="19" t="s">
        <v>355</v>
      </c>
      <c r="S32" s="19" t="s">
        <v>356</v>
      </c>
      <c r="T32" s="15"/>
      <c r="U32" s="19" t="s">
        <v>357</v>
      </c>
      <c r="V32" s="15"/>
      <c r="W32" s="15" t="s">
        <v>358</v>
      </c>
      <c r="X32" s="15"/>
      <c r="Y32" s="15" t="s">
        <v>350</v>
      </c>
      <c r="Z32" s="15" t="s">
        <v>321</v>
      </c>
      <c r="AA32" s="21" t="s">
        <v>94</v>
      </c>
      <c r="AB32" s="20" t="s">
        <v>93</v>
      </c>
      <c r="AC32" s="21" t="s">
        <v>94</v>
      </c>
      <c r="AD32" s="21" t="s">
        <v>94</v>
      </c>
      <c r="AE32" s="20" t="s">
        <v>93</v>
      </c>
      <c r="AF32" s="20" t="s">
        <v>93</v>
      </c>
      <c r="AG32" s="21" t="s">
        <v>94</v>
      </c>
      <c r="AH32" s="20" t="s">
        <v>93</v>
      </c>
      <c r="AI32" s="21" t="s">
        <v>94</v>
      </c>
    </row>
    <row r="33" customFormat="false" ht="57.75" hidden="false" customHeight="true" outlineLevel="0" collapsed="false">
      <c r="A33" s="22" t="n">
        <v>32</v>
      </c>
      <c r="B33" s="23" t="s">
        <v>76</v>
      </c>
      <c r="C33" s="22" t="s">
        <v>77</v>
      </c>
      <c r="D33" s="22" t="s">
        <v>78</v>
      </c>
      <c r="E33" s="24" t="s">
        <v>359</v>
      </c>
      <c r="F33" s="22" t="s">
        <v>360</v>
      </c>
      <c r="G33" s="22" t="s">
        <v>361</v>
      </c>
      <c r="H33" s="22" t="s">
        <v>82</v>
      </c>
      <c r="I33" s="22" t="s">
        <v>362</v>
      </c>
      <c r="J33" s="22"/>
      <c r="K33" s="25"/>
      <c r="L33" s="25"/>
      <c r="M33" s="22" t="s">
        <v>99</v>
      </c>
      <c r="N33" s="19" t="s">
        <v>54</v>
      </c>
      <c r="O33" s="19" t="s">
        <v>363</v>
      </c>
      <c r="P33" s="22"/>
      <c r="Q33" s="22"/>
      <c r="R33" s="19" t="s">
        <v>364</v>
      </c>
      <c r="S33" s="22"/>
      <c r="T33" s="22"/>
      <c r="U33" s="19" t="s">
        <v>365</v>
      </c>
      <c r="V33" s="22"/>
      <c r="W33" s="22" t="s">
        <v>366</v>
      </c>
      <c r="X33" s="22"/>
      <c r="Y33" s="22" t="s">
        <v>367</v>
      </c>
      <c r="Z33" s="22" t="s">
        <v>368</v>
      </c>
      <c r="AA33" s="20" t="s">
        <v>93</v>
      </c>
      <c r="AB33" s="20" t="s">
        <v>93</v>
      </c>
      <c r="AC33" s="21" t="s">
        <v>94</v>
      </c>
      <c r="AD33" s="21" t="s">
        <v>94</v>
      </c>
      <c r="AE33" s="20" t="s">
        <v>93</v>
      </c>
      <c r="AF33" s="21" t="s">
        <v>94</v>
      </c>
      <c r="AG33" s="21" t="s">
        <v>94</v>
      </c>
      <c r="AH33" s="20" t="s">
        <v>93</v>
      </c>
      <c r="AI33" s="21" t="s">
        <v>94</v>
      </c>
    </row>
    <row r="34" customFormat="false" ht="57.75" hidden="false" customHeight="true" outlineLevel="0" collapsed="false">
      <c r="A34" s="15" t="n">
        <v>33</v>
      </c>
      <c r="B34" s="16" t="s">
        <v>76</v>
      </c>
      <c r="C34" s="15" t="s">
        <v>77</v>
      </c>
      <c r="D34" s="15" t="s">
        <v>78</v>
      </c>
      <c r="E34" s="17" t="s">
        <v>369</v>
      </c>
      <c r="F34" s="15" t="s">
        <v>370</v>
      </c>
      <c r="G34" s="15" t="s">
        <v>371</v>
      </c>
      <c r="H34" s="15" t="s">
        <v>263</v>
      </c>
      <c r="I34" s="15" t="s">
        <v>372</v>
      </c>
      <c r="J34" s="15" t="s">
        <v>373</v>
      </c>
      <c r="K34" s="18" t="n">
        <v>3239</v>
      </c>
      <c r="L34" s="18" t="n">
        <v>3239</v>
      </c>
      <c r="M34" s="15" t="s">
        <v>94</v>
      </c>
      <c r="N34" s="15"/>
      <c r="O34" s="19" t="s">
        <v>374</v>
      </c>
      <c r="P34" s="15"/>
      <c r="Q34" s="15"/>
      <c r="R34" s="19" t="s">
        <v>375</v>
      </c>
      <c r="S34" s="15"/>
      <c r="T34" s="15"/>
      <c r="U34" s="15"/>
      <c r="V34" s="15"/>
      <c r="W34" s="15"/>
      <c r="X34" s="15"/>
      <c r="Y34" s="15" t="s">
        <v>376</v>
      </c>
      <c r="Z34" s="15"/>
      <c r="AA34" s="21" t="s">
        <v>94</v>
      </c>
      <c r="AB34" s="20" t="s">
        <v>93</v>
      </c>
      <c r="AC34" s="21" t="s">
        <v>94</v>
      </c>
      <c r="AD34" s="21" t="s">
        <v>94</v>
      </c>
      <c r="AE34" s="20" t="s">
        <v>93</v>
      </c>
      <c r="AF34" s="21" t="s">
        <v>94</v>
      </c>
      <c r="AG34" s="21" t="s">
        <v>94</v>
      </c>
      <c r="AH34" s="21" t="s">
        <v>94</v>
      </c>
      <c r="AI34" s="21" t="s">
        <v>94</v>
      </c>
    </row>
    <row r="35" customFormat="false" ht="57.75" hidden="false" customHeight="true" outlineLevel="0" collapsed="false">
      <c r="A35" s="22" t="n">
        <v>34</v>
      </c>
      <c r="B35" s="23" t="s">
        <v>76</v>
      </c>
      <c r="C35" s="22" t="s">
        <v>77</v>
      </c>
      <c r="D35" s="22" t="s">
        <v>78</v>
      </c>
      <c r="E35" s="24" t="s">
        <v>377</v>
      </c>
      <c r="F35" s="22" t="s">
        <v>378</v>
      </c>
      <c r="G35" s="22" t="s">
        <v>371</v>
      </c>
      <c r="H35" s="22" t="s">
        <v>82</v>
      </c>
      <c r="I35" s="22" t="s">
        <v>379</v>
      </c>
      <c r="J35" s="22"/>
      <c r="K35" s="25"/>
      <c r="L35" s="25"/>
      <c r="M35" s="22" t="s">
        <v>99</v>
      </c>
      <c r="N35" s="22"/>
      <c r="O35" s="19" t="s">
        <v>380</v>
      </c>
      <c r="P35" s="22"/>
      <c r="Q35" s="22"/>
      <c r="R35" s="19" t="s">
        <v>381</v>
      </c>
      <c r="S35" s="22"/>
      <c r="T35" s="19" t="s">
        <v>382</v>
      </c>
      <c r="U35" s="22"/>
      <c r="V35" s="22"/>
      <c r="W35" s="22"/>
      <c r="X35" s="22"/>
      <c r="Y35" s="22" t="s">
        <v>376</v>
      </c>
      <c r="Z35" s="22" t="s">
        <v>383</v>
      </c>
      <c r="AA35" s="21" t="s">
        <v>94</v>
      </c>
      <c r="AB35" s="20" t="s">
        <v>93</v>
      </c>
      <c r="AC35" s="21" t="s">
        <v>94</v>
      </c>
      <c r="AD35" s="21" t="s">
        <v>94</v>
      </c>
      <c r="AE35" s="20" t="s">
        <v>93</v>
      </c>
      <c r="AF35" s="21" t="s">
        <v>94</v>
      </c>
      <c r="AG35" s="20" t="s">
        <v>93</v>
      </c>
      <c r="AH35" s="21" t="s">
        <v>94</v>
      </c>
      <c r="AI35" s="21" t="s">
        <v>94</v>
      </c>
    </row>
    <row r="36" customFormat="false" ht="57.75" hidden="false" customHeight="true" outlineLevel="0" collapsed="false">
      <c r="A36" s="15" t="n">
        <v>35</v>
      </c>
      <c r="B36" s="16" t="s">
        <v>76</v>
      </c>
      <c r="C36" s="15" t="s">
        <v>77</v>
      </c>
      <c r="D36" s="15" t="s">
        <v>78</v>
      </c>
      <c r="E36" s="17" t="s">
        <v>384</v>
      </c>
      <c r="F36" s="15" t="s">
        <v>384</v>
      </c>
      <c r="G36" s="15" t="s">
        <v>385</v>
      </c>
      <c r="H36" s="15" t="s">
        <v>82</v>
      </c>
      <c r="I36" s="15" t="s">
        <v>386</v>
      </c>
      <c r="J36" s="15"/>
      <c r="K36" s="18"/>
      <c r="L36" s="18"/>
      <c r="M36" s="15" t="s">
        <v>99</v>
      </c>
      <c r="N36" s="15"/>
      <c r="O36" s="19" t="s">
        <v>387</v>
      </c>
      <c r="P36" s="19" t="s">
        <v>388</v>
      </c>
      <c r="Q36" s="19" t="s">
        <v>389</v>
      </c>
      <c r="R36" s="15"/>
      <c r="S36" s="15"/>
      <c r="T36" s="15"/>
      <c r="U36" s="15"/>
      <c r="V36" s="15"/>
      <c r="W36" s="15" t="s">
        <v>390</v>
      </c>
      <c r="X36" s="15"/>
      <c r="Y36" s="15" t="s">
        <v>376</v>
      </c>
      <c r="Z36" s="15"/>
      <c r="AA36" s="21" t="s">
        <v>94</v>
      </c>
      <c r="AB36" s="20" t="s">
        <v>93</v>
      </c>
      <c r="AC36" s="20" t="s">
        <v>93</v>
      </c>
      <c r="AD36" s="20" t="s">
        <v>93</v>
      </c>
      <c r="AE36" s="21" t="s">
        <v>94</v>
      </c>
      <c r="AF36" s="21" t="s">
        <v>94</v>
      </c>
      <c r="AG36" s="21" t="s">
        <v>94</v>
      </c>
      <c r="AH36" s="21" t="s">
        <v>94</v>
      </c>
      <c r="AI36" s="21" t="s">
        <v>94</v>
      </c>
    </row>
    <row r="37" customFormat="false" ht="57.75" hidden="false" customHeight="true" outlineLevel="0" collapsed="false">
      <c r="A37" s="22" t="n">
        <v>36</v>
      </c>
      <c r="B37" s="23" t="s">
        <v>76</v>
      </c>
      <c r="C37" s="22" t="s">
        <v>77</v>
      </c>
      <c r="D37" s="22" t="s">
        <v>78</v>
      </c>
      <c r="E37" s="24" t="s">
        <v>391</v>
      </c>
      <c r="F37" s="22" t="s">
        <v>384</v>
      </c>
      <c r="G37" s="22" t="s">
        <v>385</v>
      </c>
      <c r="H37" s="22" t="s">
        <v>263</v>
      </c>
      <c r="I37" s="22" t="s">
        <v>392</v>
      </c>
      <c r="J37" s="22"/>
      <c r="K37" s="25"/>
      <c r="L37" s="25"/>
      <c r="M37" s="22" t="s">
        <v>94</v>
      </c>
      <c r="N37" s="22"/>
      <c r="O37" s="19" t="s">
        <v>393</v>
      </c>
      <c r="P37" s="19" t="s">
        <v>394</v>
      </c>
      <c r="Q37" s="19" t="s">
        <v>395</v>
      </c>
      <c r="R37" s="19" t="s">
        <v>396</v>
      </c>
      <c r="S37" s="22"/>
      <c r="T37" s="22"/>
      <c r="U37" s="19" t="s">
        <v>397</v>
      </c>
      <c r="V37" s="22"/>
      <c r="W37" s="22" t="s">
        <v>390</v>
      </c>
      <c r="X37" s="22"/>
      <c r="Y37" s="22" t="s">
        <v>376</v>
      </c>
      <c r="Z37" s="22"/>
      <c r="AA37" s="21" t="s">
        <v>94</v>
      </c>
      <c r="AB37" s="20" t="s">
        <v>93</v>
      </c>
      <c r="AC37" s="20" t="s">
        <v>93</v>
      </c>
      <c r="AD37" s="20" t="s">
        <v>93</v>
      </c>
      <c r="AE37" s="20" t="s">
        <v>93</v>
      </c>
      <c r="AF37" s="21" t="s">
        <v>94</v>
      </c>
      <c r="AG37" s="21" t="s">
        <v>94</v>
      </c>
      <c r="AH37" s="20" t="s">
        <v>93</v>
      </c>
      <c r="AI37" s="21" t="s">
        <v>94</v>
      </c>
    </row>
    <row r="38" customFormat="false" ht="57.75" hidden="false" customHeight="true" outlineLevel="0" collapsed="false">
      <c r="A38" s="15" t="n">
        <v>37</v>
      </c>
      <c r="B38" s="16" t="s">
        <v>76</v>
      </c>
      <c r="C38" s="15" t="s">
        <v>77</v>
      </c>
      <c r="D38" s="15" t="s">
        <v>78</v>
      </c>
      <c r="E38" s="17" t="s">
        <v>398</v>
      </c>
      <c r="F38" s="15" t="s">
        <v>399</v>
      </c>
      <c r="G38" s="15" t="s">
        <v>371</v>
      </c>
      <c r="H38" s="15" t="s">
        <v>82</v>
      </c>
      <c r="I38" s="15" t="s">
        <v>400</v>
      </c>
      <c r="J38" s="15"/>
      <c r="K38" s="18"/>
      <c r="L38" s="18"/>
      <c r="M38" s="15" t="s">
        <v>99</v>
      </c>
      <c r="N38" s="15"/>
      <c r="O38" s="19" t="s">
        <v>401</v>
      </c>
      <c r="P38" s="15"/>
      <c r="Q38" s="15"/>
      <c r="R38" s="19" t="s">
        <v>402</v>
      </c>
      <c r="S38" s="15"/>
      <c r="T38" s="15"/>
      <c r="U38" s="15"/>
      <c r="V38" s="15"/>
      <c r="W38" s="15" t="s">
        <v>403</v>
      </c>
      <c r="X38" s="15"/>
      <c r="Y38" s="15" t="s">
        <v>376</v>
      </c>
      <c r="Z38" s="15"/>
      <c r="AA38" s="21" t="s">
        <v>94</v>
      </c>
      <c r="AB38" s="20" t="s">
        <v>93</v>
      </c>
      <c r="AC38" s="21" t="s">
        <v>94</v>
      </c>
      <c r="AD38" s="21" t="s">
        <v>94</v>
      </c>
      <c r="AE38" s="20" t="s">
        <v>93</v>
      </c>
      <c r="AF38" s="21" t="s">
        <v>94</v>
      </c>
      <c r="AG38" s="21" t="s">
        <v>94</v>
      </c>
      <c r="AH38" s="21" t="s">
        <v>94</v>
      </c>
      <c r="AI38" s="21" t="s">
        <v>94</v>
      </c>
    </row>
    <row r="39" customFormat="false" ht="57.75" hidden="false" customHeight="true" outlineLevel="0" collapsed="false">
      <c r="A39" s="22" t="n">
        <v>38</v>
      </c>
      <c r="B39" s="23" t="s">
        <v>76</v>
      </c>
      <c r="C39" s="22" t="s">
        <v>77</v>
      </c>
      <c r="D39" s="22" t="s">
        <v>78</v>
      </c>
      <c r="E39" s="24" t="s">
        <v>404</v>
      </c>
      <c r="F39" s="22" t="s">
        <v>405</v>
      </c>
      <c r="G39" s="22" t="s">
        <v>406</v>
      </c>
      <c r="H39" s="22" t="s">
        <v>82</v>
      </c>
      <c r="I39" s="22" t="s">
        <v>407</v>
      </c>
      <c r="J39" s="22"/>
      <c r="K39" s="25"/>
      <c r="L39" s="25"/>
      <c r="M39" s="22" t="s">
        <v>99</v>
      </c>
      <c r="N39" s="22"/>
      <c r="O39" s="19" t="s">
        <v>408</v>
      </c>
      <c r="P39" s="22"/>
      <c r="Q39" s="22"/>
      <c r="R39" s="19" t="s">
        <v>409</v>
      </c>
      <c r="S39" s="22"/>
      <c r="T39" s="22"/>
      <c r="U39" s="22"/>
      <c r="V39" s="22"/>
      <c r="W39" s="22"/>
      <c r="X39" s="22"/>
      <c r="Y39" s="22" t="s">
        <v>410</v>
      </c>
      <c r="Z39" s="22" t="s">
        <v>411</v>
      </c>
      <c r="AA39" s="21" t="s">
        <v>94</v>
      </c>
      <c r="AB39" s="20" t="s">
        <v>93</v>
      </c>
      <c r="AC39" s="21" t="s">
        <v>94</v>
      </c>
      <c r="AD39" s="21" t="s">
        <v>94</v>
      </c>
      <c r="AE39" s="20" t="s">
        <v>93</v>
      </c>
      <c r="AF39" s="21" t="s">
        <v>94</v>
      </c>
      <c r="AG39" s="21" t="s">
        <v>94</v>
      </c>
      <c r="AH39" s="21" t="s">
        <v>94</v>
      </c>
      <c r="AI39" s="21" t="s">
        <v>94</v>
      </c>
    </row>
    <row r="40" customFormat="false" ht="57.75" hidden="false" customHeight="true" outlineLevel="0" collapsed="false">
      <c r="A40" s="15" t="n">
        <v>39</v>
      </c>
      <c r="B40" s="16" t="s">
        <v>76</v>
      </c>
      <c r="C40" s="15" t="s">
        <v>77</v>
      </c>
      <c r="D40" s="15" t="s">
        <v>78</v>
      </c>
      <c r="E40" s="17" t="s">
        <v>412</v>
      </c>
      <c r="F40" s="15" t="s">
        <v>413</v>
      </c>
      <c r="G40" s="15" t="s">
        <v>414</v>
      </c>
      <c r="H40" s="15" t="s">
        <v>82</v>
      </c>
      <c r="I40" s="15" t="s">
        <v>415</v>
      </c>
      <c r="J40" s="15"/>
      <c r="K40" s="18"/>
      <c r="L40" s="18"/>
      <c r="M40" s="15" t="s">
        <v>99</v>
      </c>
      <c r="N40" s="19" t="s">
        <v>54</v>
      </c>
      <c r="O40" s="19" t="s">
        <v>416</v>
      </c>
      <c r="P40" s="15"/>
      <c r="Q40" s="15"/>
      <c r="R40" s="15"/>
      <c r="S40" s="15"/>
      <c r="T40" s="15"/>
      <c r="U40" s="19" t="s">
        <v>417</v>
      </c>
      <c r="V40" s="15"/>
      <c r="W40" s="15" t="s">
        <v>418</v>
      </c>
      <c r="X40" s="15"/>
      <c r="Y40" s="15" t="s">
        <v>410</v>
      </c>
      <c r="Z40" s="15" t="s">
        <v>419</v>
      </c>
      <c r="AA40" s="20" t="s">
        <v>93</v>
      </c>
      <c r="AB40" s="20" t="s">
        <v>93</v>
      </c>
      <c r="AC40" s="21" t="s">
        <v>94</v>
      </c>
      <c r="AD40" s="21" t="s">
        <v>94</v>
      </c>
      <c r="AE40" s="21" t="s">
        <v>94</v>
      </c>
      <c r="AF40" s="21" t="s">
        <v>94</v>
      </c>
      <c r="AG40" s="21" t="s">
        <v>94</v>
      </c>
      <c r="AH40" s="20" t="s">
        <v>93</v>
      </c>
      <c r="AI40" s="21" t="s">
        <v>94</v>
      </c>
    </row>
    <row r="41" customFormat="false" ht="57.75" hidden="false" customHeight="true" outlineLevel="0" collapsed="false">
      <c r="A41" s="22" t="n">
        <v>40</v>
      </c>
      <c r="B41" s="23" t="s">
        <v>76</v>
      </c>
      <c r="C41" s="22" t="s">
        <v>77</v>
      </c>
      <c r="D41" s="22" t="s">
        <v>78</v>
      </c>
      <c r="E41" s="24" t="s">
        <v>420</v>
      </c>
      <c r="F41" s="22" t="s">
        <v>421</v>
      </c>
      <c r="G41" s="22" t="s">
        <v>422</v>
      </c>
      <c r="H41" s="22" t="s">
        <v>227</v>
      </c>
      <c r="I41" s="22" t="s">
        <v>423</v>
      </c>
      <c r="J41" s="22" t="s">
        <v>424</v>
      </c>
      <c r="K41" s="25" t="n">
        <v>804</v>
      </c>
      <c r="L41" s="25" t="n">
        <v>1823</v>
      </c>
      <c r="M41" s="22" t="s">
        <v>94</v>
      </c>
      <c r="N41" s="22"/>
      <c r="O41" s="19" t="s">
        <v>425</v>
      </c>
      <c r="P41" s="22"/>
      <c r="Q41" s="22"/>
      <c r="R41" s="19" t="s">
        <v>426</v>
      </c>
      <c r="S41" s="22"/>
      <c r="T41" s="22"/>
      <c r="U41" s="19" t="s">
        <v>427</v>
      </c>
      <c r="V41" s="22"/>
      <c r="W41" s="22" t="s">
        <v>428</v>
      </c>
      <c r="X41" s="22"/>
      <c r="Y41" s="22" t="s">
        <v>410</v>
      </c>
      <c r="Z41" s="22" t="s">
        <v>429</v>
      </c>
      <c r="AA41" s="21" t="s">
        <v>94</v>
      </c>
      <c r="AB41" s="20" t="s">
        <v>93</v>
      </c>
      <c r="AC41" s="21" t="s">
        <v>94</v>
      </c>
      <c r="AD41" s="21" t="s">
        <v>94</v>
      </c>
      <c r="AE41" s="20" t="s">
        <v>93</v>
      </c>
      <c r="AF41" s="21" t="s">
        <v>94</v>
      </c>
      <c r="AG41" s="21" t="s">
        <v>94</v>
      </c>
      <c r="AH41" s="20" t="s">
        <v>93</v>
      </c>
      <c r="AI41" s="21" t="s">
        <v>94</v>
      </c>
    </row>
    <row r="42" customFormat="false" ht="57.75" hidden="false" customHeight="true" outlineLevel="0" collapsed="false">
      <c r="A42" s="15" t="n">
        <v>41</v>
      </c>
      <c r="B42" s="16" t="s">
        <v>76</v>
      </c>
      <c r="C42" s="15" t="s">
        <v>77</v>
      </c>
      <c r="D42" s="15" t="s">
        <v>78</v>
      </c>
      <c r="E42" s="17" t="s">
        <v>430</v>
      </c>
      <c r="F42" s="15" t="s">
        <v>430</v>
      </c>
      <c r="G42" s="15" t="s">
        <v>431</v>
      </c>
      <c r="H42" s="15" t="s">
        <v>82</v>
      </c>
      <c r="I42" s="15" t="s">
        <v>432</v>
      </c>
      <c r="J42" s="15"/>
      <c r="K42" s="18"/>
      <c r="L42" s="18"/>
      <c r="M42" s="15" t="s">
        <v>99</v>
      </c>
      <c r="N42" s="15"/>
      <c r="O42" s="19" t="s">
        <v>433</v>
      </c>
      <c r="P42" s="26" t="s">
        <v>434</v>
      </c>
      <c r="Q42" s="26" t="s">
        <v>434</v>
      </c>
      <c r="R42" s="19" t="s">
        <v>435</v>
      </c>
      <c r="S42" s="26" t="s">
        <v>436</v>
      </c>
      <c r="T42" s="19" t="s">
        <v>437</v>
      </c>
      <c r="U42" s="26" t="s">
        <v>438</v>
      </c>
      <c r="V42" s="15"/>
      <c r="W42" s="15" t="s">
        <v>439</v>
      </c>
      <c r="X42" s="15"/>
      <c r="Y42" s="15" t="s">
        <v>440</v>
      </c>
      <c r="Z42" s="15" t="s">
        <v>158</v>
      </c>
      <c r="AA42" s="21" t="s">
        <v>94</v>
      </c>
      <c r="AB42" s="20" t="s">
        <v>93</v>
      </c>
      <c r="AC42" s="27" t="s">
        <v>213</v>
      </c>
      <c r="AD42" s="27" t="s">
        <v>213</v>
      </c>
      <c r="AE42" s="20" t="s">
        <v>93</v>
      </c>
      <c r="AF42" s="27" t="s">
        <v>213</v>
      </c>
      <c r="AG42" s="20" t="s">
        <v>93</v>
      </c>
      <c r="AH42" s="27" t="s">
        <v>213</v>
      </c>
      <c r="AI42" s="21" t="s">
        <v>94</v>
      </c>
    </row>
    <row r="43" customFormat="false" ht="57.75" hidden="false" customHeight="true" outlineLevel="0" collapsed="false">
      <c r="A43" s="22" t="n">
        <v>42</v>
      </c>
      <c r="B43" s="23" t="s">
        <v>76</v>
      </c>
      <c r="C43" s="22" t="s">
        <v>77</v>
      </c>
      <c r="D43" s="22" t="s">
        <v>78</v>
      </c>
      <c r="E43" s="24" t="s">
        <v>441</v>
      </c>
      <c r="F43" s="22" t="s">
        <v>442</v>
      </c>
      <c r="G43" s="22" t="s">
        <v>443</v>
      </c>
      <c r="H43" s="22" t="s">
        <v>227</v>
      </c>
      <c r="I43" s="22" t="s">
        <v>386</v>
      </c>
      <c r="J43" s="22" t="s">
        <v>444</v>
      </c>
      <c r="K43" s="25" t="n">
        <v>3025</v>
      </c>
      <c r="L43" s="25" t="n">
        <v>3025</v>
      </c>
      <c r="M43" s="22" t="s">
        <v>94</v>
      </c>
      <c r="N43" s="22"/>
      <c r="O43" s="19" t="s">
        <v>445</v>
      </c>
      <c r="P43" s="22"/>
      <c r="Q43" s="19" t="s">
        <v>446</v>
      </c>
      <c r="R43" s="19" t="s">
        <v>447</v>
      </c>
      <c r="S43" s="22"/>
      <c r="T43" s="19" t="s">
        <v>448</v>
      </c>
      <c r="U43" s="19" t="s">
        <v>275</v>
      </c>
      <c r="V43" s="22"/>
      <c r="W43" s="22" t="s">
        <v>449</v>
      </c>
      <c r="X43" s="22"/>
      <c r="Y43" s="22" t="s">
        <v>440</v>
      </c>
      <c r="Z43" s="22" t="s">
        <v>107</v>
      </c>
      <c r="AA43" s="21" t="s">
        <v>94</v>
      </c>
      <c r="AB43" s="20" t="s">
        <v>93</v>
      </c>
      <c r="AC43" s="21" t="s">
        <v>94</v>
      </c>
      <c r="AD43" s="20" t="s">
        <v>93</v>
      </c>
      <c r="AE43" s="20" t="s">
        <v>93</v>
      </c>
      <c r="AF43" s="21" t="s">
        <v>94</v>
      </c>
      <c r="AG43" s="20" t="s">
        <v>93</v>
      </c>
      <c r="AH43" s="20" t="s">
        <v>93</v>
      </c>
      <c r="AI43" s="21" t="s">
        <v>94</v>
      </c>
    </row>
    <row r="44" customFormat="false" ht="57.75" hidden="false" customHeight="true" outlineLevel="0" collapsed="false">
      <c r="A44" s="15" t="n">
        <v>43</v>
      </c>
      <c r="B44" s="16" t="s">
        <v>76</v>
      </c>
      <c r="C44" s="15" t="s">
        <v>77</v>
      </c>
      <c r="D44" s="15" t="s">
        <v>78</v>
      </c>
      <c r="E44" s="17" t="s">
        <v>450</v>
      </c>
      <c r="F44" s="15" t="s">
        <v>451</v>
      </c>
      <c r="G44" s="15" t="s">
        <v>452</v>
      </c>
      <c r="H44" s="15" t="s">
        <v>82</v>
      </c>
      <c r="I44" s="15" t="s">
        <v>453</v>
      </c>
      <c r="J44" s="15"/>
      <c r="K44" s="18"/>
      <c r="L44" s="18"/>
      <c r="M44" s="15" t="s">
        <v>99</v>
      </c>
      <c r="N44" s="19" t="s">
        <v>187</v>
      </c>
      <c r="O44" s="19" t="s">
        <v>454</v>
      </c>
      <c r="P44" s="15"/>
      <c r="Q44" s="19" t="s">
        <v>455</v>
      </c>
      <c r="R44" s="19" t="s">
        <v>456</v>
      </c>
      <c r="S44" s="19" t="s">
        <v>457</v>
      </c>
      <c r="T44" s="15"/>
      <c r="U44" s="19" t="s">
        <v>458</v>
      </c>
      <c r="V44" s="15"/>
      <c r="W44" s="15" t="s">
        <v>459</v>
      </c>
      <c r="X44" s="15"/>
      <c r="Y44" s="15" t="s">
        <v>460</v>
      </c>
      <c r="Z44" s="15" t="s">
        <v>119</v>
      </c>
      <c r="AA44" s="20" t="s">
        <v>93</v>
      </c>
      <c r="AB44" s="20" t="s">
        <v>93</v>
      </c>
      <c r="AC44" s="21" t="s">
        <v>94</v>
      </c>
      <c r="AD44" s="20" t="s">
        <v>93</v>
      </c>
      <c r="AE44" s="20" t="s">
        <v>93</v>
      </c>
      <c r="AF44" s="20" t="s">
        <v>93</v>
      </c>
      <c r="AG44" s="21" t="s">
        <v>94</v>
      </c>
      <c r="AH44" s="20" t="s">
        <v>93</v>
      </c>
      <c r="AI44" s="21" t="s">
        <v>94</v>
      </c>
    </row>
    <row r="45" customFormat="false" ht="57.75" hidden="false" customHeight="true" outlineLevel="0" collapsed="false">
      <c r="A45" s="22" t="n">
        <v>44</v>
      </c>
      <c r="B45" s="23" t="s">
        <v>76</v>
      </c>
      <c r="C45" s="22" t="s">
        <v>77</v>
      </c>
      <c r="D45" s="22" t="s">
        <v>78</v>
      </c>
      <c r="E45" s="24" t="s">
        <v>461</v>
      </c>
      <c r="F45" s="22" t="s">
        <v>462</v>
      </c>
      <c r="G45" s="22" t="s">
        <v>463</v>
      </c>
      <c r="H45" s="22" t="s">
        <v>82</v>
      </c>
      <c r="I45" s="22" t="s">
        <v>464</v>
      </c>
      <c r="J45" s="22" t="s">
        <v>465</v>
      </c>
      <c r="K45" s="25" t="n">
        <v>2950</v>
      </c>
      <c r="L45" s="25" t="n">
        <v>2950</v>
      </c>
      <c r="M45" s="22" t="s">
        <v>99</v>
      </c>
      <c r="N45" s="22"/>
      <c r="O45" s="19" t="s">
        <v>466</v>
      </c>
      <c r="P45" s="22"/>
      <c r="Q45" s="22"/>
      <c r="R45" s="19" t="s">
        <v>467</v>
      </c>
      <c r="S45" s="22"/>
      <c r="T45" s="22"/>
      <c r="U45" s="19" t="s">
        <v>468</v>
      </c>
      <c r="V45" s="22"/>
      <c r="W45" s="22" t="s">
        <v>469</v>
      </c>
      <c r="X45" s="22"/>
      <c r="Y45" s="22" t="s">
        <v>470</v>
      </c>
      <c r="Z45" s="22"/>
      <c r="AA45" s="21" t="s">
        <v>94</v>
      </c>
      <c r="AB45" s="20" t="s">
        <v>93</v>
      </c>
      <c r="AC45" s="21" t="s">
        <v>94</v>
      </c>
      <c r="AD45" s="21" t="s">
        <v>94</v>
      </c>
      <c r="AE45" s="20" t="s">
        <v>93</v>
      </c>
      <c r="AF45" s="21" t="s">
        <v>94</v>
      </c>
      <c r="AG45" s="21" t="s">
        <v>94</v>
      </c>
      <c r="AH45" s="20" t="s">
        <v>93</v>
      </c>
      <c r="AI45" s="21" t="s">
        <v>94</v>
      </c>
    </row>
    <row r="46" customFormat="false" ht="57.75" hidden="false" customHeight="true" outlineLevel="0" collapsed="false">
      <c r="A46" s="15" t="n">
        <v>45</v>
      </c>
      <c r="B46" s="16" t="s">
        <v>76</v>
      </c>
      <c r="C46" s="15" t="s">
        <v>77</v>
      </c>
      <c r="D46" s="15" t="s">
        <v>78</v>
      </c>
      <c r="E46" s="17" t="s">
        <v>471</v>
      </c>
      <c r="F46" s="15" t="s">
        <v>244</v>
      </c>
      <c r="G46" s="15" t="s">
        <v>472</v>
      </c>
      <c r="H46" s="15" t="s">
        <v>227</v>
      </c>
      <c r="I46" s="15" t="s">
        <v>473</v>
      </c>
      <c r="J46" s="15"/>
      <c r="K46" s="18"/>
      <c r="L46" s="18"/>
      <c r="M46" s="15" t="s">
        <v>94</v>
      </c>
      <c r="N46" s="15"/>
      <c r="O46" s="19" t="s">
        <v>474</v>
      </c>
      <c r="P46" s="15"/>
      <c r="Q46" s="15"/>
      <c r="R46" s="19" t="s">
        <v>475</v>
      </c>
      <c r="S46" s="15"/>
      <c r="T46" s="15"/>
      <c r="U46" s="15"/>
      <c r="V46" s="15"/>
      <c r="W46" s="15" t="s">
        <v>249</v>
      </c>
      <c r="X46" s="15"/>
      <c r="Y46" s="15" t="s">
        <v>476</v>
      </c>
      <c r="Z46" s="15" t="s">
        <v>477</v>
      </c>
      <c r="AA46" s="21" t="s">
        <v>94</v>
      </c>
      <c r="AB46" s="20" t="s">
        <v>93</v>
      </c>
      <c r="AC46" s="21" t="s">
        <v>94</v>
      </c>
      <c r="AD46" s="21" t="s">
        <v>94</v>
      </c>
      <c r="AE46" s="20" t="s">
        <v>93</v>
      </c>
      <c r="AF46" s="21" t="s">
        <v>94</v>
      </c>
      <c r="AG46" s="21" t="s">
        <v>94</v>
      </c>
      <c r="AH46" s="21" t="s">
        <v>94</v>
      </c>
      <c r="AI46" s="21" t="s">
        <v>94</v>
      </c>
    </row>
    <row r="47" customFormat="false" ht="57.75" hidden="false" customHeight="true" outlineLevel="0" collapsed="false">
      <c r="A47" s="22" t="n">
        <v>46</v>
      </c>
      <c r="B47" s="23" t="s">
        <v>76</v>
      </c>
      <c r="C47" s="22" t="s">
        <v>77</v>
      </c>
      <c r="D47" s="22" t="s">
        <v>78</v>
      </c>
      <c r="E47" s="24" t="s">
        <v>478</v>
      </c>
      <c r="F47" s="22" t="s">
        <v>244</v>
      </c>
      <c r="G47" s="22" t="s">
        <v>479</v>
      </c>
      <c r="H47" s="22" t="s">
        <v>227</v>
      </c>
      <c r="I47" s="22" t="s">
        <v>407</v>
      </c>
      <c r="J47" s="22"/>
      <c r="K47" s="25"/>
      <c r="L47" s="25"/>
      <c r="M47" s="22" t="s">
        <v>94</v>
      </c>
      <c r="N47" s="22"/>
      <c r="O47" s="19" t="s">
        <v>474</v>
      </c>
      <c r="P47" s="22"/>
      <c r="Q47" s="22"/>
      <c r="R47" s="19" t="s">
        <v>475</v>
      </c>
      <c r="S47" s="22"/>
      <c r="T47" s="22"/>
      <c r="U47" s="22"/>
      <c r="V47" s="22"/>
      <c r="W47" s="22" t="s">
        <v>249</v>
      </c>
      <c r="X47" s="22"/>
      <c r="Y47" s="22" t="s">
        <v>480</v>
      </c>
      <c r="Z47" s="22" t="s">
        <v>481</v>
      </c>
      <c r="AA47" s="21" t="s">
        <v>94</v>
      </c>
      <c r="AB47" s="20" t="s">
        <v>93</v>
      </c>
      <c r="AC47" s="21" t="s">
        <v>94</v>
      </c>
      <c r="AD47" s="21" t="s">
        <v>94</v>
      </c>
      <c r="AE47" s="20" t="s">
        <v>93</v>
      </c>
      <c r="AF47" s="21" t="s">
        <v>94</v>
      </c>
      <c r="AG47" s="21" t="s">
        <v>94</v>
      </c>
      <c r="AH47" s="21" t="s">
        <v>94</v>
      </c>
      <c r="AI47" s="21" t="s">
        <v>94</v>
      </c>
    </row>
    <row r="48" customFormat="false" ht="57.75" hidden="false" customHeight="true" outlineLevel="0" collapsed="false">
      <c r="A48" s="15" t="n">
        <v>47</v>
      </c>
      <c r="B48" s="16" t="s">
        <v>76</v>
      </c>
      <c r="C48" s="15" t="s">
        <v>77</v>
      </c>
      <c r="D48" s="15" t="s">
        <v>78</v>
      </c>
      <c r="E48" s="17" t="s">
        <v>482</v>
      </c>
      <c r="F48" s="15" t="s">
        <v>483</v>
      </c>
      <c r="G48" s="15" t="s">
        <v>484</v>
      </c>
      <c r="H48" s="15" t="s">
        <v>227</v>
      </c>
      <c r="I48" s="15" t="s">
        <v>485</v>
      </c>
      <c r="J48" s="15"/>
      <c r="K48" s="18"/>
      <c r="L48" s="18"/>
      <c r="M48" s="15" t="s">
        <v>94</v>
      </c>
      <c r="N48" s="19" t="s">
        <v>54</v>
      </c>
      <c r="O48" s="15"/>
      <c r="P48" s="15"/>
      <c r="Q48" s="15"/>
      <c r="R48" s="15"/>
      <c r="S48" s="15"/>
      <c r="T48" s="15"/>
      <c r="U48" s="19" t="s">
        <v>486</v>
      </c>
      <c r="V48" s="15"/>
      <c r="W48" s="15" t="s">
        <v>180</v>
      </c>
      <c r="X48" s="15"/>
      <c r="Y48" s="15" t="s">
        <v>487</v>
      </c>
      <c r="Z48" s="15" t="s">
        <v>488</v>
      </c>
      <c r="AA48" s="20" t="s">
        <v>93</v>
      </c>
      <c r="AB48" s="21" t="s">
        <v>94</v>
      </c>
      <c r="AC48" s="21" t="s">
        <v>94</v>
      </c>
      <c r="AD48" s="21" t="s">
        <v>94</v>
      </c>
      <c r="AE48" s="21" t="s">
        <v>94</v>
      </c>
      <c r="AF48" s="21" t="s">
        <v>94</v>
      </c>
      <c r="AG48" s="21" t="s">
        <v>94</v>
      </c>
      <c r="AH48" s="20" t="s">
        <v>93</v>
      </c>
      <c r="AI48" s="21" t="s">
        <v>94</v>
      </c>
    </row>
    <row r="49" customFormat="false" ht="57.75" hidden="false" customHeight="true" outlineLevel="0" collapsed="false">
      <c r="A49" s="22" t="n">
        <v>48</v>
      </c>
      <c r="B49" s="23" t="s">
        <v>76</v>
      </c>
      <c r="C49" s="22" t="s">
        <v>77</v>
      </c>
      <c r="D49" s="22" t="s">
        <v>78</v>
      </c>
      <c r="E49" s="24" t="s">
        <v>489</v>
      </c>
      <c r="F49" s="22" t="s">
        <v>490</v>
      </c>
      <c r="G49" s="22" t="s">
        <v>491</v>
      </c>
      <c r="H49" s="22" t="s">
        <v>227</v>
      </c>
      <c r="I49" s="22" t="s">
        <v>492</v>
      </c>
      <c r="J49" s="22"/>
      <c r="K49" s="25"/>
      <c r="L49" s="25"/>
      <c r="M49" s="22" t="s">
        <v>94</v>
      </c>
      <c r="N49" s="22"/>
      <c r="O49" s="22"/>
      <c r="P49" s="22"/>
      <c r="Q49" s="22"/>
      <c r="R49" s="22"/>
      <c r="S49" s="22"/>
      <c r="T49" s="22"/>
      <c r="U49" s="22"/>
      <c r="V49" s="22"/>
      <c r="W49" s="22" t="s">
        <v>180</v>
      </c>
      <c r="X49" s="22"/>
      <c r="Y49" s="22" t="s">
        <v>487</v>
      </c>
      <c r="Z49" s="22" t="s">
        <v>297</v>
      </c>
      <c r="AA49" s="21" t="s">
        <v>94</v>
      </c>
      <c r="AB49" s="21" t="s">
        <v>94</v>
      </c>
      <c r="AC49" s="21" t="s">
        <v>94</v>
      </c>
      <c r="AD49" s="21" t="s">
        <v>94</v>
      </c>
      <c r="AE49" s="21" t="s">
        <v>94</v>
      </c>
      <c r="AF49" s="21" t="s">
        <v>94</v>
      </c>
      <c r="AG49" s="21" t="s">
        <v>94</v>
      </c>
      <c r="AH49" s="21" t="s">
        <v>94</v>
      </c>
      <c r="AI49" s="21" t="s">
        <v>94</v>
      </c>
    </row>
    <row r="50" customFormat="false" ht="57.75" hidden="false" customHeight="true" outlineLevel="0" collapsed="false">
      <c r="A50" s="15" t="n">
        <v>49</v>
      </c>
      <c r="B50" s="16" t="s">
        <v>76</v>
      </c>
      <c r="C50" s="15" t="s">
        <v>77</v>
      </c>
      <c r="D50" s="15" t="s">
        <v>78</v>
      </c>
      <c r="E50" s="17" t="s">
        <v>493</v>
      </c>
      <c r="F50" s="15" t="s">
        <v>494</v>
      </c>
      <c r="G50" s="15" t="s">
        <v>495</v>
      </c>
      <c r="H50" s="15" t="s">
        <v>82</v>
      </c>
      <c r="I50" s="15" t="s">
        <v>496</v>
      </c>
      <c r="J50" s="15" t="s">
        <v>497</v>
      </c>
      <c r="K50" s="18"/>
      <c r="L50" s="18"/>
      <c r="M50" s="15" t="s">
        <v>85</v>
      </c>
      <c r="N50" s="19" t="s">
        <v>54</v>
      </c>
      <c r="O50" s="15"/>
      <c r="P50" s="15"/>
      <c r="Q50" s="15"/>
      <c r="R50" s="15"/>
      <c r="S50" s="15"/>
      <c r="T50" s="19" t="s">
        <v>498</v>
      </c>
      <c r="U50" s="19" t="s">
        <v>499</v>
      </c>
      <c r="V50" s="15"/>
      <c r="W50" s="15" t="s">
        <v>500</v>
      </c>
      <c r="X50" s="15"/>
      <c r="Y50" s="15" t="s">
        <v>501</v>
      </c>
      <c r="Z50" s="15" t="s">
        <v>502</v>
      </c>
      <c r="AA50" s="20" t="s">
        <v>93</v>
      </c>
      <c r="AB50" s="21" t="s">
        <v>94</v>
      </c>
      <c r="AC50" s="21" t="s">
        <v>94</v>
      </c>
      <c r="AD50" s="21" t="s">
        <v>94</v>
      </c>
      <c r="AE50" s="21" t="s">
        <v>94</v>
      </c>
      <c r="AF50" s="21" t="s">
        <v>94</v>
      </c>
      <c r="AG50" s="20" t="s">
        <v>93</v>
      </c>
      <c r="AH50" s="20" t="s">
        <v>93</v>
      </c>
      <c r="AI50" s="21" t="s">
        <v>94</v>
      </c>
    </row>
    <row r="51" customFormat="false" ht="57.75" hidden="false" customHeight="true" outlineLevel="0" collapsed="false">
      <c r="A51" s="22" t="n">
        <v>50</v>
      </c>
      <c r="B51" s="23" t="s">
        <v>76</v>
      </c>
      <c r="C51" s="22" t="s">
        <v>77</v>
      </c>
      <c r="D51" s="22" t="s">
        <v>78</v>
      </c>
      <c r="E51" s="24" t="s">
        <v>503</v>
      </c>
      <c r="F51" s="22" t="s">
        <v>504</v>
      </c>
      <c r="G51" s="22" t="s">
        <v>505</v>
      </c>
      <c r="H51" s="22" t="s">
        <v>227</v>
      </c>
      <c r="I51" s="22" t="s">
        <v>506</v>
      </c>
      <c r="J51" s="22"/>
      <c r="K51" s="25"/>
      <c r="L51" s="25"/>
      <c r="M51" s="22" t="s">
        <v>94</v>
      </c>
      <c r="N51" s="22"/>
      <c r="O51" s="19" t="s">
        <v>507</v>
      </c>
      <c r="P51" s="22"/>
      <c r="Q51" s="22"/>
      <c r="R51" s="19" t="s">
        <v>508</v>
      </c>
      <c r="S51" s="19" t="s">
        <v>509</v>
      </c>
      <c r="T51" s="19" t="s">
        <v>498</v>
      </c>
      <c r="U51" s="19" t="s">
        <v>510</v>
      </c>
      <c r="V51" s="22"/>
      <c r="W51" s="22" t="s">
        <v>511</v>
      </c>
      <c r="X51" s="22"/>
      <c r="Y51" s="22" t="s">
        <v>512</v>
      </c>
      <c r="Z51" s="22" t="s">
        <v>411</v>
      </c>
      <c r="AA51" s="21" t="s">
        <v>94</v>
      </c>
      <c r="AB51" s="20" t="s">
        <v>93</v>
      </c>
      <c r="AC51" s="21" t="s">
        <v>94</v>
      </c>
      <c r="AD51" s="21" t="s">
        <v>94</v>
      </c>
      <c r="AE51" s="20" t="s">
        <v>93</v>
      </c>
      <c r="AF51" s="20" t="s">
        <v>93</v>
      </c>
      <c r="AG51" s="20" t="s">
        <v>93</v>
      </c>
      <c r="AH51" s="20" t="s">
        <v>93</v>
      </c>
      <c r="AI51" s="21" t="s">
        <v>94</v>
      </c>
    </row>
    <row r="52" customFormat="false" ht="57.75" hidden="false" customHeight="true" outlineLevel="0" collapsed="false">
      <c r="A52" s="15" t="n">
        <v>51</v>
      </c>
      <c r="B52" s="16" t="s">
        <v>76</v>
      </c>
      <c r="C52" s="15" t="s">
        <v>77</v>
      </c>
      <c r="D52" s="15" t="s">
        <v>78</v>
      </c>
      <c r="E52" s="17" t="s">
        <v>513</v>
      </c>
      <c r="F52" s="15" t="s">
        <v>504</v>
      </c>
      <c r="G52" s="15" t="s">
        <v>505</v>
      </c>
      <c r="H52" s="15" t="s">
        <v>227</v>
      </c>
      <c r="I52" s="15" t="s">
        <v>514</v>
      </c>
      <c r="J52" s="15"/>
      <c r="K52" s="18"/>
      <c r="L52" s="18"/>
      <c r="M52" s="15" t="s">
        <v>94</v>
      </c>
      <c r="N52" s="15"/>
      <c r="O52" s="15"/>
      <c r="P52" s="19" t="s">
        <v>515</v>
      </c>
      <c r="Q52" s="19" t="s">
        <v>516</v>
      </c>
      <c r="R52" s="15"/>
      <c r="S52" s="19" t="s">
        <v>89</v>
      </c>
      <c r="T52" s="19" t="s">
        <v>516</v>
      </c>
      <c r="U52" s="15"/>
      <c r="V52" s="15"/>
      <c r="W52" s="15" t="s">
        <v>517</v>
      </c>
      <c r="X52" s="15"/>
      <c r="Y52" s="15" t="s">
        <v>512</v>
      </c>
      <c r="Z52" s="15" t="s">
        <v>518</v>
      </c>
      <c r="AA52" s="21" t="s">
        <v>94</v>
      </c>
      <c r="AB52" s="21" t="s">
        <v>94</v>
      </c>
      <c r="AC52" s="20" t="s">
        <v>93</v>
      </c>
      <c r="AD52" s="20" t="s">
        <v>93</v>
      </c>
      <c r="AE52" s="21" t="s">
        <v>94</v>
      </c>
      <c r="AF52" s="20" t="s">
        <v>93</v>
      </c>
      <c r="AG52" s="20" t="s">
        <v>93</v>
      </c>
      <c r="AH52" s="21" t="s">
        <v>94</v>
      </c>
      <c r="AI52" s="21" t="s">
        <v>94</v>
      </c>
    </row>
    <row r="53" customFormat="false" ht="57.75" hidden="false" customHeight="true" outlineLevel="0" collapsed="false">
      <c r="A53" s="22" t="n">
        <v>52</v>
      </c>
      <c r="B53" s="23" t="s">
        <v>76</v>
      </c>
      <c r="C53" s="22" t="s">
        <v>77</v>
      </c>
      <c r="D53" s="22" t="s">
        <v>78</v>
      </c>
      <c r="E53" s="24" t="s">
        <v>519</v>
      </c>
      <c r="F53" s="22" t="s">
        <v>360</v>
      </c>
      <c r="G53" s="22" t="s">
        <v>505</v>
      </c>
      <c r="H53" s="22" t="s">
        <v>520</v>
      </c>
      <c r="I53" s="22" t="s">
        <v>521</v>
      </c>
      <c r="J53" s="22"/>
      <c r="K53" s="25"/>
      <c r="L53" s="25"/>
      <c r="M53" s="22" t="s">
        <v>85</v>
      </c>
      <c r="N53" s="22"/>
      <c r="O53" s="22"/>
      <c r="P53" s="22"/>
      <c r="Q53" s="22"/>
      <c r="R53" s="22"/>
      <c r="S53" s="19" t="s">
        <v>89</v>
      </c>
      <c r="T53" s="19" t="s">
        <v>522</v>
      </c>
      <c r="U53" s="19" t="s">
        <v>523</v>
      </c>
      <c r="V53" s="22"/>
      <c r="W53" s="22" t="s">
        <v>524</v>
      </c>
      <c r="X53" s="22"/>
      <c r="Y53" s="22" t="s">
        <v>525</v>
      </c>
      <c r="Z53" s="22" t="s">
        <v>526</v>
      </c>
      <c r="AA53" s="21" t="s">
        <v>94</v>
      </c>
      <c r="AB53" s="21" t="s">
        <v>94</v>
      </c>
      <c r="AC53" s="21" t="s">
        <v>94</v>
      </c>
      <c r="AD53" s="21" t="s">
        <v>94</v>
      </c>
      <c r="AE53" s="21" t="s">
        <v>94</v>
      </c>
      <c r="AF53" s="20" t="s">
        <v>93</v>
      </c>
      <c r="AG53" s="20" t="s">
        <v>93</v>
      </c>
      <c r="AH53" s="20" t="s">
        <v>93</v>
      </c>
      <c r="AI53" s="21" t="s">
        <v>94</v>
      </c>
    </row>
    <row r="54" customFormat="false" ht="57.75" hidden="false" customHeight="true" outlineLevel="0" collapsed="false">
      <c r="A54" s="15" t="n">
        <v>53</v>
      </c>
      <c r="B54" s="16" t="s">
        <v>76</v>
      </c>
      <c r="C54" s="15" t="s">
        <v>77</v>
      </c>
      <c r="D54" s="15" t="s">
        <v>78</v>
      </c>
      <c r="E54" s="17" t="s">
        <v>527</v>
      </c>
      <c r="F54" s="15" t="s">
        <v>528</v>
      </c>
      <c r="G54" s="15" t="s">
        <v>505</v>
      </c>
      <c r="H54" s="15" t="s">
        <v>529</v>
      </c>
      <c r="I54" s="15" t="s">
        <v>530</v>
      </c>
      <c r="J54" s="15"/>
      <c r="K54" s="18"/>
      <c r="L54" s="18"/>
      <c r="M54" s="15" t="s">
        <v>94</v>
      </c>
      <c r="N54" s="15"/>
      <c r="O54" s="15"/>
      <c r="P54" s="19" t="s">
        <v>531</v>
      </c>
      <c r="Q54" s="19" t="s">
        <v>532</v>
      </c>
      <c r="R54" s="15"/>
      <c r="S54" s="15"/>
      <c r="T54" s="19" t="s">
        <v>516</v>
      </c>
      <c r="U54" s="15"/>
      <c r="V54" s="19" t="s">
        <v>533</v>
      </c>
      <c r="W54" s="15" t="s">
        <v>534</v>
      </c>
      <c r="X54" s="15"/>
      <c r="Y54" s="15" t="s">
        <v>535</v>
      </c>
      <c r="Z54" s="15" t="s">
        <v>536</v>
      </c>
      <c r="AA54" s="21" t="s">
        <v>94</v>
      </c>
      <c r="AB54" s="21" t="s">
        <v>94</v>
      </c>
      <c r="AC54" s="20" t="s">
        <v>93</v>
      </c>
      <c r="AD54" s="20" t="s">
        <v>93</v>
      </c>
      <c r="AE54" s="21" t="s">
        <v>94</v>
      </c>
      <c r="AF54" s="21" t="s">
        <v>94</v>
      </c>
      <c r="AG54" s="20" t="s">
        <v>93</v>
      </c>
      <c r="AH54" s="21" t="s">
        <v>94</v>
      </c>
      <c r="AI54" s="20" t="s">
        <v>93</v>
      </c>
    </row>
    <row r="55" customFormat="false" ht="57.75" hidden="false" customHeight="true" outlineLevel="0" collapsed="false">
      <c r="A55" s="22" t="n">
        <v>54</v>
      </c>
      <c r="B55" s="23" t="s">
        <v>76</v>
      </c>
      <c r="C55" s="22" t="s">
        <v>77</v>
      </c>
      <c r="D55" s="22" t="s">
        <v>78</v>
      </c>
      <c r="E55" s="24" t="s">
        <v>537</v>
      </c>
      <c r="F55" s="22" t="s">
        <v>538</v>
      </c>
      <c r="G55" s="22" t="s">
        <v>539</v>
      </c>
      <c r="H55" s="22" t="s">
        <v>82</v>
      </c>
      <c r="I55" s="22" t="s">
        <v>540</v>
      </c>
      <c r="J55" s="22" t="s">
        <v>541</v>
      </c>
      <c r="K55" s="25" t="n">
        <v>3690</v>
      </c>
      <c r="L55" s="25" t="n">
        <v>3690</v>
      </c>
      <c r="M55" s="22" t="s">
        <v>99</v>
      </c>
      <c r="N55" s="19" t="s">
        <v>54</v>
      </c>
      <c r="O55" s="22"/>
      <c r="P55" s="19" t="s">
        <v>542</v>
      </c>
      <c r="Q55" s="19" t="s">
        <v>543</v>
      </c>
      <c r="R55" s="22"/>
      <c r="S55" s="22"/>
      <c r="T55" s="19" t="s">
        <v>544</v>
      </c>
      <c r="U55" s="19" t="s">
        <v>545</v>
      </c>
      <c r="V55" s="22"/>
      <c r="W55" s="22" t="s">
        <v>180</v>
      </c>
      <c r="X55" s="22"/>
      <c r="Y55" s="22" t="s">
        <v>546</v>
      </c>
      <c r="Z55" s="22" t="s">
        <v>547</v>
      </c>
      <c r="AA55" s="20" t="s">
        <v>93</v>
      </c>
      <c r="AB55" s="21" t="s">
        <v>94</v>
      </c>
      <c r="AC55" s="20" t="s">
        <v>93</v>
      </c>
      <c r="AD55" s="20" t="s">
        <v>93</v>
      </c>
      <c r="AE55" s="21" t="s">
        <v>94</v>
      </c>
      <c r="AF55" s="21" t="s">
        <v>94</v>
      </c>
      <c r="AG55" s="20" t="s">
        <v>93</v>
      </c>
      <c r="AH55" s="20" t="s">
        <v>93</v>
      </c>
      <c r="AI55" s="21" t="s">
        <v>94</v>
      </c>
    </row>
    <row r="56" customFormat="false" ht="57.75" hidden="false" customHeight="true" outlineLevel="0" collapsed="false">
      <c r="A56" s="15" t="n">
        <v>55</v>
      </c>
      <c r="B56" s="16" t="s">
        <v>76</v>
      </c>
      <c r="C56" s="15" t="s">
        <v>77</v>
      </c>
      <c r="D56" s="15" t="s">
        <v>78</v>
      </c>
      <c r="E56" s="17" t="s">
        <v>548</v>
      </c>
      <c r="F56" s="15" t="s">
        <v>343</v>
      </c>
      <c r="G56" s="15" t="s">
        <v>505</v>
      </c>
      <c r="H56" s="15" t="s">
        <v>520</v>
      </c>
      <c r="I56" s="15" t="s">
        <v>549</v>
      </c>
      <c r="J56" s="15"/>
      <c r="K56" s="18"/>
      <c r="L56" s="18"/>
      <c r="M56" s="15" t="s">
        <v>85</v>
      </c>
      <c r="N56" s="15"/>
      <c r="O56" s="15"/>
      <c r="P56" s="15"/>
      <c r="Q56" s="19" t="s">
        <v>516</v>
      </c>
      <c r="R56" s="15"/>
      <c r="S56" s="19" t="s">
        <v>89</v>
      </c>
      <c r="T56" s="19" t="s">
        <v>516</v>
      </c>
      <c r="U56" s="19" t="s">
        <v>550</v>
      </c>
      <c r="V56" s="15"/>
      <c r="W56" s="15" t="s">
        <v>551</v>
      </c>
      <c r="X56" s="15"/>
      <c r="Y56" s="15" t="s">
        <v>546</v>
      </c>
      <c r="Z56" s="15" t="s">
        <v>552</v>
      </c>
      <c r="AA56" s="21" t="s">
        <v>94</v>
      </c>
      <c r="AB56" s="21" t="s">
        <v>94</v>
      </c>
      <c r="AC56" s="21" t="s">
        <v>94</v>
      </c>
      <c r="AD56" s="20" t="s">
        <v>93</v>
      </c>
      <c r="AE56" s="21" t="s">
        <v>94</v>
      </c>
      <c r="AF56" s="20" t="s">
        <v>93</v>
      </c>
      <c r="AG56" s="20" t="s">
        <v>93</v>
      </c>
      <c r="AH56" s="20" t="s">
        <v>93</v>
      </c>
      <c r="AI56" s="21" t="s">
        <v>94</v>
      </c>
    </row>
    <row r="57" customFormat="false" ht="57.75" hidden="false" customHeight="true" outlineLevel="0" collapsed="false">
      <c r="A57" s="22" t="n">
        <v>56</v>
      </c>
      <c r="B57" s="23" t="s">
        <v>76</v>
      </c>
      <c r="C57" s="22" t="s">
        <v>77</v>
      </c>
      <c r="D57" s="22" t="s">
        <v>78</v>
      </c>
      <c r="E57" s="24" t="s">
        <v>553</v>
      </c>
      <c r="F57" s="22" t="s">
        <v>528</v>
      </c>
      <c r="G57" s="22" t="s">
        <v>554</v>
      </c>
      <c r="H57" s="22" t="s">
        <v>227</v>
      </c>
      <c r="I57" s="22" t="s">
        <v>555</v>
      </c>
      <c r="J57" s="22" t="s">
        <v>556</v>
      </c>
      <c r="K57" s="25" t="n">
        <v>2050</v>
      </c>
      <c r="L57" s="25" t="n">
        <v>2050</v>
      </c>
      <c r="M57" s="22" t="s">
        <v>94</v>
      </c>
      <c r="N57" s="22"/>
      <c r="O57" s="22"/>
      <c r="P57" s="22"/>
      <c r="Q57" s="19" t="s">
        <v>557</v>
      </c>
      <c r="R57" s="22"/>
      <c r="S57" s="22"/>
      <c r="T57" s="19" t="s">
        <v>516</v>
      </c>
      <c r="U57" s="22"/>
      <c r="V57" s="19" t="s">
        <v>533</v>
      </c>
      <c r="W57" s="22" t="s">
        <v>558</v>
      </c>
      <c r="X57" s="22"/>
      <c r="Y57" s="22" t="s">
        <v>546</v>
      </c>
      <c r="Z57" s="22" t="s">
        <v>158</v>
      </c>
      <c r="AA57" s="21" t="s">
        <v>94</v>
      </c>
      <c r="AB57" s="21" t="s">
        <v>94</v>
      </c>
      <c r="AC57" s="21" t="s">
        <v>94</v>
      </c>
      <c r="AD57" s="20" t="s">
        <v>93</v>
      </c>
      <c r="AE57" s="21" t="s">
        <v>94</v>
      </c>
      <c r="AF57" s="21" t="s">
        <v>94</v>
      </c>
      <c r="AG57" s="20" t="s">
        <v>93</v>
      </c>
      <c r="AH57" s="21" t="s">
        <v>94</v>
      </c>
      <c r="AI57" s="20" t="s">
        <v>93</v>
      </c>
    </row>
    <row r="58" customFormat="false" ht="57.75" hidden="false" customHeight="true" outlineLevel="0" collapsed="false">
      <c r="A58" s="15" t="n">
        <v>57</v>
      </c>
      <c r="B58" s="16" t="s">
        <v>76</v>
      </c>
      <c r="C58" s="15" t="s">
        <v>77</v>
      </c>
      <c r="D58" s="15" t="s">
        <v>78</v>
      </c>
      <c r="E58" s="17" t="s">
        <v>559</v>
      </c>
      <c r="F58" s="15" t="s">
        <v>560</v>
      </c>
      <c r="G58" s="15" t="s">
        <v>561</v>
      </c>
      <c r="H58" s="15" t="s">
        <v>227</v>
      </c>
      <c r="I58" s="15" t="s">
        <v>562</v>
      </c>
      <c r="J58" s="15" t="s">
        <v>563</v>
      </c>
      <c r="K58" s="18" t="n">
        <v>1727.25</v>
      </c>
      <c r="L58" s="18" t="n">
        <v>1727.25</v>
      </c>
      <c r="M58" s="15" t="s">
        <v>94</v>
      </c>
      <c r="N58" s="19" t="s">
        <v>54</v>
      </c>
      <c r="O58" s="15"/>
      <c r="P58" s="15"/>
      <c r="Q58" s="19" t="s">
        <v>516</v>
      </c>
      <c r="R58" s="15"/>
      <c r="S58" s="19" t="s">
        <v>564</v>
      </c>
      <c r="T58" s="19" t="s">
        <v>516</v>
      </c>
      <c r="U58" s="19" t="s">
        <v>565</v>
      </c>
      <c r="V58" s="15"/>
      <c r="W58" s="15" t="s">
        <v>566</v>
      </c>
      <c r="X58" s="15"/>
      <c r="Y58" s="15" t="s">
        <v>546</v>
      </c>
      <c r="Z58" s="15" t="s">
        <v>567</v>
      </c>
      <c r="AA58" s="20" t="s">
        <v>93</v>
      </c>
      <c r="AB58" s="21" t="s">
        <v>94</v>
      </c>
      <c r="AC58" s="21" t="s">
        <v>94</v>
      </c>
      <c r="AD58" s="20" t="s">
        <v>93</v>
      </c>
      <c r="AE58" s="21" t="s">
        <v>94</v>
      </c>
      <c r="AF58" s="20" t="s">
        <v>93</v>
      </c>
      <c r="AG58" s="20" t="s">
        <v>93</v>
      </c>
      <c r="AH58" s="20" t="s">
        <v>93</v>
      </c>
      <c r="AI58" s="21" t="s">
        <v>94</v>
      </c>
    </row>
    <row r="59" customFormat="false" ht="57.75" hidden="false" customHeight="true" outlineLevel="0" collapsed="false">
      <c r="A59" s="22" t="n">
        <v>58</v>
      </c>
      <c r="B59" s="23" t="s">
        <v>76</v>
      </c>
      <c r="C59" s="22" t="s">
        <v>77</v>
      </c>
      <c r="D59" s="22" t="s">
        <v>78</v>
      </c>
      <c r="E59" s="24" t="s">
        <v>568</v>
      </c>
      <c r="F59" s="22" t="s">
        <v>569</v>
      </c>
      <c r="G59" s="22" t="s">
        <v>570</v>
      </c>
      <c r="H59" s="22" t="s">
        <v>227</v>
      </c>
      <c r="I59" s="22" t="s">
        <v>571</v>
      </c>
      <c r="J59" s="22"/>
      <c r="K59" s="25"/>
      <c r="L59" s="25"/>
      <c r="M59" s="22" t="s">
        <v>94</v>
      </c>
      <c r="N59" s="19" t="s">
        <v>54</v>
      </c>
      <c r="O59" s="22"/>
      <c r="P59" s="22"/>
      <c r="Q59" s="19" t="s">
        <v>572</v>
      </c>
      <c r="R59" s="22"/>
      <c r="S59" s="19" t="s">
        <v>200</v>
      </c>
      <c r="T59" s="19" t="s">
        <v>516</v>
      </c>
      <c r="U59" s="19" t="s">
        <v>468</v>
      </c>
      <c r="V59" s="22"/>
      <c r="W59" s="22" t="s">
        <v>573</v>
      </c>
      <c r="X59" s="22"/>
      <c r="Y59" s="22" t="s">
        <v>546</v>
      </c>
      <c r="Z59" s="22" t="s">
        <v>574</v>
      </c>
      <c r="AA59" s="20" t="s">
        <v>93</v>
      </c>
      <c r="AB59" s="21" t="s">
        <v>94</v>
      </c>
      <c r="AC59" s="21" t="s">
        <v>94</v>
      </c>
      <c r="AD59" s="20" t="s">
        <v>93</v>
      </c>
      <c r="AE59" s="21" t="s">
        <v>94</v>
      </c>
      <c r="AF59" s="20" t="s">
        <v>93</v>
      </c>
      <c r="AG59" s="20" t="s">
        <v>93</v>
      </c>
      <c r="AH59" s="20" t="s">
        <v>93</v>
      </c>
      <c r="AI59" s="21" t="s">
        <v>94</v>
      </c>
    </row>
    <row r="60" customFormat="false" ht="57.75" hidden="false" customHeight="true" outlineLevel="0" collapsed="false">
      <c r="A60" s="15" t="n">
        <v>59</v>
      </c>
      <c r="B60" s="16" t="s">
        <v>76</v>
      </c>
      <c r="C60" s="15" t="s">
        <v>77</v>
      </c>
      <c r="D60" s="15" t="s">
        <v>78</v>
      </c>
      <c r="E60" s="17" t="s">
        <v>575</v>
      </c>
      <c r="F60" s="15" t="s">
        <v>352</v>
      </c>
      <c r="G60" s="15" t="s">
        <v>576</v>
      </c>
      <c r="H60" s="15" t="s">
        <v>227</v>
      </c>
      <c r="I60" s="15" t="s">
        <v>571</v>
      </c>
      <c r="J60" s="15"/>
      <c r="K60" s="18"/>
      <c r="L60" s="18"/>
      <c r="M60" s="15" t="s">
        <v>94</v>
      </c>
      <c r="N60" s="19" t="s">
        <v>54</v>
      </c>
      <c r="O60" s="15"/>
      <c r="P60" s="15"/>
      <c r="Q60" s="15"/>
      <c r="R60" s="15"/>
      <c r="S60" s="19" t="s">
        <v>200</v>
      </c>
      <c r="T60" s="15"/>
      <c r="U60" s="15"/>
      <c r="V60" s="15"/>
      <c r="W60" s="15" t="s">
        <v>517</v>
      </c>
      <c r="X60" s="15"/>
      <c r="Y60" s="15" t="s">
        <v>546</v>
      </c>
      <c r="Z60" s="15" t="s">
        <v>577</v>
      </c>
      <c r="AA60" s="20" t="s">
        <v>93</v>
      </c>
      <c r="AB60" s="21" t="s">
        <v>94</v>
      </c>
      <c r="AC60" s="21" t="s">
        <v>94</v>
      </c>
      <c r="AD60" s="21" t="s">
        <v>94</v>
      </c>
      <c r="AE60" s="21" t="s">
        <v>94</v>
      </c>
      <c r="AF60" s="20" t="s">
        <v>93</v>
      </c>
      <c r="AG60" s="21" t="s">
        <v>94</v>
      </c>
      <c r="AH60" s="21" t="s">
        <v>94</v>
      </c>
      <c r="AI60" s="21" t="s">
        <v>94</v>
      </c>
    </row>
    <row r="61" customFormat="false" ht="57.75" hidden="false" customHeight="true" outlineLevel="0" collapsed="false">
      <c r="A61" s="22" t="n">
        <v>60</v>
      </c>
      <c r="B61" s="23" t="s">
        <v>76</v>
      </c>
      <c r="C61" s="22" t="s">
        <v>77</v>
      </c>
      <c r="D61" s="22" t="s">
        <v>78</v>
      </c>
      <c r="E61" s="24" t="s">
        <v>578</v>
      </c>
      <c r="F61" s="22" t="s">
        <v>333</v>
      </c>
      <c r="G61" s="22" t="s">
        <v>579</v>
      </c>
      <c r="H61" s="22" t="s">
        <v>227</v>
      </c>
      <c r="I61" s="22" t="s">
        <v>386</v>
      </c>
      <c r="J61" s="22"/>
      <c r="K61" s="25"/>
      <c r="L61" s="25"/>
      <c r="M61" s="22" t="s">
        <v>94</v>
      </c>
      <c r="N61" s="19" t="s">
        <v>54</v>
      </c>
      <c r="O61" s="22"/>
      <c r="P61" s="19" t="s">
        <v>580</v>
      </c>
      <c r="Q61" s="19" t="s">
        <v>581</v>
      </c>
      <c r="R61" s="22"/>
      <c r="S61" s="22"/>
      <c r="T61" s="22"/>
      <c r="U61" s="19" t="s">
        <v>339</v>
      </c>
      <c r="V61" s="22"/>
      <c r="W61" s="22" t="s">
        <v>534</v>
      </c>
      <c r="X61" s="22"/>
      <c r="Y61" s="22" t="s">
        <v>582</v>
      </c>
      <c r="Z61" s="22" t="s">
        <v>182</v>
      </c>
      <c r="AA61" s="20" t="s">
        <v>93</v>
      </c>
      <c r="AB61" s="21" t="s">
        <v>94</v>
      </c>
      <c r="AC61" s="20" t="s">
        <v>93</v>
      </c>
      <c r="AD61" s="20" t="s">
        <v>93</v>
      </c>
      <c r="AE61" s="21" t="s">
        <v>94</v>
      </c>
      <c r="AF61" s="21" t="s">
        <v>94</v>
      </c>
      <c r="AG61" s="21" t="s">
        <v>94</v>
      </c>
      <c r="AH61" s="20" t="s">
        <v>93</v>
      </c>
      <c r="AI61" s="21" t="s">
        <v>94</v>
      </c>
    </row>
    <row r="62" customFormat="false" ht="57.75" hidden="false" customHeight="true" outlineLevel="0" collapsed="false">
      <c r="A62" s="15" t="n">
        <v>61</v>
      </c>
      <c r="B62" s="16" t="s">
        <v>76</v>
      </c>
      <c r="C62" s="15" t="s">
        <v>77</v>
      </c>
      <c r="D62" s="15" t="s">
        <v>78</v>
      </c>
      <c r="E62" s="17" t="s">
        <v>583</v>
      </c>
      <c r="F62" s="15" t="s">
        <v>560</v>
      </c>
      <c r="G62" s="15" t="s">
        <v>584</v>
      </c>
      <c r="H62" s="15" t="s">
        <v>227</v>
      </c>
      <c r="I62" s="15" t="s">
        <v>585</v>
      </c>
      <c r="J62" s="15" t="s">
        <v>586</v>
      </c>
      <c r="K62" s="18" t="n">
        <v>2065</v>
      </c>
      <c r="L62" s="18" t="n">
        <v>2065</v>
      </c>
      <c r="M62" s="15" t="s">
        <v>94</v>
      </c>
      <c r="N62" s="19" t="s">
        <v>54</v>
      </c>
      <c r="O62" s="15"/>
      <c r="P62" s="15"/>
      <c r="Q62" s="15"/>
      <c r="R62" s="15"/>
      <c r="S62" s="15"/>
      <c r="T62" s="15"/>
      <c r="U62" s="19" t="s">
        <v>565</v>
      </c>
      <c r="V62" s="15"/>
      <c r="W62" s="15" t="s">
        <v>587</v>
      </c>
      <c r="X62" s="15"/>
      <c r="Y62" s="15" t="s">
        <v>582</v>
      </c>
      <c r="Z62" s="15" t="s">
        <v>588</v>
      </c>
      <c r="AA62" s="20" t="s">
        <v>93</v>
      </c>
      <c r="AB62" s="21" t="s">
        <v>94</v>
      </c>
      <c r="AC62" s="21" t="s">
        <v>94</v>
      </c>
      <c r="AD62" s="21" t="s">
        <v>94</v>
      </c>
      <c r="AE62" s="21" t="s">
        <v>94</v>
      </c>
      <c r="AF62" s="21" t="s">
        <v>94</v>
      </c>
      <c r="AG62" s="21" t="s">
        <v>94</v>
      </c>
      <c r="AH62" s="20" t="s">
        <v>93</v>
      </c>
      <c r="AI62" s="21" t="s">
        <v>94</v>
      </c>
    </row>
    <row r="63" customFormat="false" ht="57.75" hidden="false" customHeight="true" outlineLevel="0" collapsed="false">
      <c r="A63" s="22" t="n">
        <v>62</v>
      </c>
      <c r="B63" s="23" t="s">
        <v>76</v>
      </c>
      <c r="C63" s="22" t="s">
        <v>77</v>
      </c>
      <c r="D63" s="22" t="s">
        <v>78</v>
      </c>
      <c r="E63" s="24" t="s">
        <v>589</v>
      </c>
      <c r="F63" s="22" t="s">
        <v>590</v>
      </c>
      <c r="G63" s="22" t="s">
        <v>591</v>
      </c>
      <c r="H63" s="22" t="s">
        <v>227</v>
      </c>
      <c r="I63" s="22" t="s">
        <v>592</v>
      </c>
      <c r="J63" s="22"/>
      <c r="K63" s="25"/>
      <c r="L63" s="25"/>
      <c r="M63" s="22" t="s">
        <v>94</v>
      </c>
      <c r="N63" s="22"/>
      <c r="O63" s="22"/>
      <c r="P63" s="22"/>
      <c r="Q63" s="22"/>
      <c r="R63" s="22"/>
      <c r="S63" s="19" t="s">
        <v>200</v>
      </c>
      <c r="T63" s="22"/>
      <c r="U63" s="19" t="s">
        <v>593</v>
      </c>
      <c r="V63" s="22"/>
      <c r="W63" s="22" t="s">
        <v>594</v>
      </c>
      <c r="X63" s="22"/>
      <c r="Y63" s="22" t="s">
        <v>582</v>
      </c>
      <c r="Z63" s="22" t="s">
        <v>595</v>
      </c>
      <c r="AA63" s="21" t="s">
        <v>94</v>
      </c>
      <c r="AB63" s="21" t="s">
        <v>94</v>
      </c>
      <c r="AC63" s="21" t="s">
        <v>94</v>
      </c>
      <c r="AD63" s="21" t="s">
        <v>94</v>
      </c>
      <c r="AE63" s="21" t="s">
        <v>94</v>
      </c>
      <c r="AF63" s="20" t="s">
        <v>93</v>
      </c>
      <c r="AG63" s="21" t="s">
        <v>94</v>
      </c>
      <c r="AH63" s="20" t="s">
        <v>93</v>
      </c>
      <c r="AI63" s="21" t="s">
        <v>94</v>
      </c>
    </row>
    <row r="64" customFormat="false" ht="57.75" hidden="false" customHeight="true" outlineLevel="0" collapsed="false">
      <c r="A64" s="15" t="n">
        <v>63</v>
      </c>
      <c r="B64" s="16" t="s">
        <v>76</v>
      </c>
      <c r="C64" s="15" t="s">
        <v>77</v>
      </c>
      <c r="D64" s="15" t="s">
        <v>78</v>
      </c>
      <c r="E64" s="17" t="s">
        <v>596</v>
      </c>
      <c r="F64" s="15" t="s">
        <v>597</v>
      </c>
      <c r="G64" s="15" t="s">
        <v>505</v>
      </c>
      <c r="H64" s="15" t="s">
        <v>227</v>
      </c>
      <c r="I64" s="15" t="s">
        <v>598</v>
      </c>
      <c r="J64" s="15"/>
      <c r="K64" s="18"/>
      <c r="L64" s="18"/>
      <c r="M64" s="15" t="s">
        <v>94</v>
      </c>
      <c r="N64" s="15"/>
      <c r="O64" s="15"/>
      <c r="P64" s="15"/>
      <c r="Q64" s="15"/>
      <c r="R64" s="15"/>
      <c r="S64" s="15"/>
      <c r="T64" s="15"/>
      <c r="U64" s="15"/>
      <c r="V64" s="15"/>
      <c r="W64" s="15"/>
      <c r="X64" s="15" t="s">
        <v>599</v>
      </c>
      <c r="Y64" s="15" t="s">
        <v>582</v>
      </c>
      <c r="Z64" s="15" t="s">
        <v>314</v>
      </c>
      <c r="AA64" s="21" t="s">
        <v>94</v>
      </c>
      <c r="AB64" s="21" t="s">
        <v>94</v>
      </c>
      <c r="AC64" s="21" t="s">
        <v>94</v>
      </c>
      <c r="AD64" s="21" t="s">
        <v>94</v>
      </c>
      <c r="AE64" s="21" t="s">
        <v>94</v>
      </c>
      <c r="AF64" s="21" t="s">
        <v>94</v>
      </c>
      <c r="AG64" s="21" t="s">
        <v>94</v>
      </c>
      <c r="AH64" s="21" t="s">
        <v>94</v>
      </c>
      <c r="AI64" s="21" t="s">
        <v>94</v>
      </c>
    </row>
    <row r="65" customFormat="false" ht="57.75" hidden="false" customHeight="true" outlineLevel="0" collapsed="false">
      <c r="A65" s="22" t="n">
        <v>64</v>
      </c>
      <c r="B65" s="23" t="s">
        <v>76</v>
      </c>
      <c r="C65" s="22" t="s">
        <v>77</v>
      </c>
      <c r="D65" s="22" t="s">
        <v>78</v>
      </c>
      <c r="E65" s="24" t="s">
        <v>600</v>
      </c>
      <c r="F65" s="22" t="s">
        <v>352</v>
      </c>
      <c r="G65" s="22" t="s">
        <v>579</v>
      </c>
      <c r="H65" s="22" t="s">
        <v>227</v>
      </c>
      <c r="I65" s="22" t="s">
        <v>601</v>
      </c>
      <c r="J65" s="22"/>
      <c r="K65" s="25"/>
      <c r="L65" s="25"/>
      <c r="M65" s="22" t="s">
        <v>94</v>
      </c>
      <c r="N65" s="19" t="s">
        <v>54</v>
      </c>
      <c r="O65" s="22"/>
      <c r="P65" s="19" t="s">
        <v>515</v>
      </c>
      <c r="Q65" s="19" t="s">
        <v>516</v>
      </c>
      <c r="R65" s="22"/>
      <c r="S65" s="19" t="s">
        <v>602</v>
      </c>
      <c r="T65" s="19" t="s">
        <v>516</v>
      </c>
      <c r="U65" s="19" t="s">
        <v>510</v>
      </c>
      <c r="V65" s="22"/>
      <c r="W65" s="22" t="s">
        <v>603</v>
      </c>
      <c r="X65" s="22"/>
      <c r="Y65" s="22" t="s">
        <v>582</v>
      </c>
      <c r="Z65" s="22" t="s">
        <v>604</v>
      </c>
      <c r="AA65" s="20" t="s">
        <v>93</v>
      </c>
      <c r="AB65" s="21" t="s">
        <v>94</v>
      </c>
      <c r="AC65" s="20" t="s">
        <v>93</v>
      </c>
      <c r="AD65" s="20" t="s">
        <v>93</v>
      </c>
      <c r="AE65" s="21" t="s">
        <v>94</v>
      </c>
      <c r="AF65" s="20" t="s">
        <v>93</v>
      </c>
      <c r="AG65" s="20" t="s">
        <v>93</v>
      </c>
      <c r="AH65" s="20" t="s">
        <v>93</v>
      </c>
      <c r="AI65" s="21" t="s">
        <v>94</v>
      </c>
    </row>
    <row r="66" customFormat="false" ht="57.75" hidden="false" customHeight="true" outlineLevel="0" collapsed="false">
      <c r="A66" s="15" t="n">
        <v>65</v>
      </c>
      <c r="B66" s="16" t="s">
        <v>76</v>
      </c>
      <c r="C66" s="15" t="s">
        <v>77</v>
      </c>
      <c r="D66" s="15" t="s">
        <v>78</v>
      </c>
      <c r="E66" s="17" t="s">
        <v>605</v>
      </c>
      <c r="F66" s="15" t="s">
        <v>606</v>
      </c>
      <c r="G66" s="15" t="s">
        <v>607</v>
      </c>
      <c r="H66" s="15" t="s">
        <v>227</v>
      </c>
      <c r="I66" s="15" t="s">
        <v>608</v>
      </c>
      <c r="J66" s="15" t="s">
        <v>609</v>
      </c>
      <c r="K66" s="18" t="n">
        <v>2730</v>
      </c>
      <c r="L66" s="18" t="n">
        <v>2730</v>
      </c>
      <c r="M66" s="15" t="s">
        <v>94</v>
      </c>
      <c r="N66" s="19" t="s">
        <v>54</v>
      </c>
      <c r="O66" s="15"/>
      <c r="P66" s="15"/>
      <c r="Q66" s="19" t="s">
        <v>610</v>
      </c>
      <c r="R66" s="15"/>
      <c r="S66" s="15"/>
      <c r="T66" s="19" t="s">
        <v>516</v>
      </c>
      <c r="U66" s="19" t="s">
        <v>611</v>
      </c>
      <c r="V66" s="15"/>
      <c r="W66" s="15" t="s">
        <v>612</v>
      </c>
      <c r="X66" s="15"/>
      <c r="Y66" s="15" t="s">
        <v>582</v>
      </c>
      <c r="Z66" s="15" t="s">
        <v>613</v>
      </c>
      <c r="AA66" s="20" t="s">
        <v>93</v>
      </c>
      <c r="AB66" s="21" t="s">
        <v>94</v>
      </c>
      <c r="AC66" s="21" t="s">
        <v>94</v>
      </c>
      <c r="AD66" s="20" t="s">
        <v>93</v>
      </c>
      <c r="AE66" s="21" t="s">
        <v>94</v>
      </c>
      <c r="AF66" s="21" t="s">
        <v>94</v>
      </c>
      <c r="AG66" s="20" t="s">
        <v>93</v>
      </c>
      <c r="AH66" s="20" t="s">
        <v>93</v>
      </c>
      <c r="AI66" s="21" t="s">
        <v>94</v>
      </c>
    </row>
    <row r="67" customFormat="false" ht="57.75" hidden="false" customHeight="true" outlineLevel="0" collapsed="false">
      <c r="A67" s="22" t="n">
        <v>66</v>
      </c>
      <c r="B67" s="23" t="s">
        <v>76</v>
      </c>
      <c r="C67" s="22" t="s">
        <v>77</v>
      </c>
      <c r="D67" s="22" t="s">
        <v>78</v>
      </c>
      <c r="E67" s="24" t="s">
        <v>614</v>
      </c>
      <c r="F67" s="22" t="s">
        <v>615</v>
      </c>
      <c r="G67" s="22" t="s">
        <v>505</v>
      </c>
      <c r="H67" s="22" t="s">
        <v>520</v>
      </c>
      <c r="I67" s="22" t="s">
        <v>616</v>
      </c>
      <c r="J67" s="22" t="s">
        <v>617</v>
      </c>
      <c r="K67" s="25"/>
      <c r="L67" s="25"/>
      <c r="M67" s="22" t="s">
        <v>85</v>
      </c>
      <c r="N67" s="22"/>
      <c r="O67" s="22"/>
      <c r="P67" s="22"/>
      <c r="Q67" s="22"/>
      <c r="R67" s="22"/>
      <c r="S67" s="22"/>
      <c r="T67" s="22"/>
      <c r="U67" s="22"/>
      <c r="V67" s="22"/>
      <c r="W67" s="22" t="s">
        <v>534</v>
      </c>
      <c r="X67" s="22"/>
      <c r="Y67" s="22" t="s">
        <v>618</v>
      </c>
      <c r="Z67" s="22" t="s">
        <v>619</v>
      </c>
      <c r="AA67" s="21" t="s">
        <v>94</v>
      </c>
      <c r="AB67" s="21" t="s">
        <v>94</v>
      </c>
      <c r="AC67" s="21" t="s">
        <v>94</v>
      </c>
      <c r="AD67" s="21" t="s">
        <v>94</v>
      </c>
      <c r="AE67" s="21" t="s">
        <v>94</v>
      </c>
      <c r="AF67" s="21" t="s">
        <v>94</v>
      </c>
      <c r="AG67" s="21" t="s">
        <v>94</v>
      </c>
      <c r="AH67" s="21" t="s">
        <v>94</v>
      </c>
      <c r="AI67" s="21" t="s">
        <v>94</v>
      </c>
    </row>
    <row r="68" customFormat="false" ht="57.75" hidden="false" customHeight="true" outlineLevel="0" collapsed="false">
      <c r="A68" s="15" t="n">
        <v>67</v>
      </c>
      <c r="B68" s="16" t="s">
        <v>76</v>
      </c>
      <c r="C68" s="15" t="s">
        <v>77</v>
      </c>
      <c r="D68" s="15" t="s">
        <v>78</v>
      </c>
      <c r="E68" s="17" t="s">
        <v>620</v>
      </c>
      <c r="F68" s="15" t="s">
        <v>621</v>
      </c>
      <c r="G68" s="15" t="s">
        <v>622</v>
      </c>
      <c r="H68" s="15" t="s">
        <v>227</v>
      </c>
      <c r="I68" s="15" t="s">
        <v>623</v>
      </c>
      <c r="J68" s="15"/>
      <c r="K68" s="18"/>
      <c r="L68" s="18"/>
      <c r="M68" s="15" t="s">
        <v>94</v>
      </c>
      <c r="N68" s="15"/>
      <c r="O68" s="15"/>
      <c r="P68" s="15"/>
      <c r="Q68" s="15"/>
      <c r="R68" s="15"/>
      <c r="S68" s="15"/>
      <c r="T68" s="15"/>
      <c r="U68" s="15"/>
      <c r="V68" s="15"/>
      <c r="W68" s="15"/>
      <c r="X68" s="15" t="s">
        <v>624</v>
      </c>
      <c r="Y68" s="15" t="s">
        <v>625</v>
      </c>
      <c r="Z68" s="15" t="s">
        <v>169</v>
      </c>
      <c r="AA68" s="21" t="s">
        <v>94</v>
      </c>
      <c r="AB68" s="21" t="s">
        <v>94</v>
      </c>
      <c r="AC68" s="21" t="s">
        <v>94</v>
      </c>
      <c r="AD68" s="21" t="s">
        <v>94</v>
      </c>
      <c r="AE68" s="21" t="s">
        <v>94</v>
      </c>
      <c r="AF68" s="21" t="s">
        <v>94</v>
      </c>
      <c r="AG68" s="21" t="s">
        <v>94</v>
      </c>
      <c r="AH68" s="21" t="s">
        <v>94</v>
      </c>
      <c r="AI68" s="21" t="s">
        <v>94</v>
      </c>
    </row>
    <row r="69" customFormat="false" ht="57.75" hidden="false" customHeight="true" outlineLevel="0" collapsed="false">
      <c r="A69" s="22" t="n">
        <v>68</v>
      </c>
      <c r="B69" s="23" t="s">
        <v>76</v>
      </c>
      <c r="C69" s="22" t="s">
        <v>77</v>
      </c>
      <c r="D69" s="22" t="s">
        <v>78</v>
      </c>
      <c r="E69" s="24" t="s">
        <v>626</v>
      </c>
      <c r="F69" s="22" t="s">
        <v>109</v>
      </c>
      <c r="G69" s="22" t="s">
        <v>627</v>
      </c>
      <c r="H69" s="22" t="s">
        <v>520</v>
      </c>
      <c r="I69" s="22" t="s">
        <v>628</v>
      </c>
      <c r="J69" s="22" t="s">
        <v>629</v>
      </c>
      <c r="K69" s="25" t="n">
        <v>6860</v>
      </c>
      <c r="L69" s="25" t="n">
        <v>6860</v>
      </c>
      <c r="M69" s="22" t="s">
        <v>85</v>
      </c>
      <c r="N69" s="22"/>
      <c r="O69" s="22"/>
      <c r="P69" s="19" t="s">
        <v>630</v>
      </c>
      <c r="Q69" s="19" t="s">
        <v>631</v>
      </c>
      <c r="R69" s="22"/>
      <c r="S69" s="19" t="s">
        <v>632</v>
      </c>
      <c r="T69" s="19" t="s">
        <v>633</v>
      </c>
      <c r="U69" s="19" t="s">
        <v>634</v>
      </c>
      <c r="V69" s="22"/>
      <c r="W69" s="22" t="s">
        <v>635</v>
      </c>
      <c r="X69" s="22"/>
      <c r="Y69" s="22" t="s">
        <v>625</v>
      </c>
      <c r="Z69" s="22" t="s">
        <v>314</v>
      </c>
      <c r="AA69" s="21" t="s">
        <v>94</v>
      </c>
      <c r="AB69" s="21" t="s">
        <v>94</v>
      </c>
      <c r="AC69" s="20" t="s">
        <v>93</v>
      </c>
      <c r="AD69" s="20" t="s">
        <v>93</v>
      </c>
      <c r="AE69" s="21" t="s">
        <v>94</v>
      </c>
      <c r="AF69" s="20" t="s">
        <v>93</v>
      </c>
      <c r="AG69" s="20" t="s">
        <v>93</v>
      </c>
      <c r="AH69" s="20" t="s">
        <v>93</v>
      </c>
      <c r="AI69" s="21" t="s">
        <v>94</v>
      </c>
    </row>
    <row r="70" customFormat="false" ht="57.75" hidden="false" customHeight="true" outlineLevel="0" collapsed="false">
      <c r="A70" s="15" t="n">
        <v>69</v>
      </c>
      <c r="B70" s="16" t="s">
        <v>76</v>
      </c>
      <c r="C70" s="15" t="s">
        <v>77</v>
      </c>
      <c r="D70" s="15" t="s">
        <v>78</v>
      </c>
      <c r="E70" s="17" t="s">
        <v>636</v>
      </c>
      <c r="F70" s="15" t="s">
        <v>637</v>
      </c>
      <c r="G70" s="15" t="s">
        <v>638</v>
      </c>
      <c r="H70" s="15" t="s">
        <v>520</v>
      </c>
      <c r="I70" s="15" t="s">
        <v>639</v>
      </c>
      <c r="J70" s="15"/>
      <c r="K70" s="18"/>
      <c r="L70" s="18"/>
      <c r="M70" s="15" t="s">
        <v>85</v>
      </c>
      <c r="N70" s="19" t="s">
        <v>54</v>
      </c>
      <c r="O70" s="15"/>
      <c r="P70" s="19" t="s">
        <v>394</v>
      </c>
      <c r="Q70" s="19" t="s">
        <v>640</v>
      </c>
      <c r="R70" s="15"/>
      <c r="S70" s="19" t="s">
        <v>641</v>
      </c>
      <c r="T70" s="19" t="s">
        <v>633</v>
      </c>
      <c r="U70" s="19" t="s">
        <v>642</v>
      </c>
      <c r="V70" s="15"/>
      <c r="W70" s="15" t="s">
        <v>180</v>
      </c>
      <c r="X70" s="15"/>
      <c r="Y70" s="15" t="s">
        <v>643</v>
      </c>
      <c r="Z70" s="15" t="s">
        <v>419</v>
      </c>
      <c r="AA70" s="20" t="s">
        <v>93</v>
      </c>
      <c r="AB70" s="21" t="s">
        <v>94</v>
      </c>
      <c r="AC70" s="20" t="s">
        <v>93</v>
      </c>
      <c r="AD70" s="20" t="s">
        <v>93</v>
      </c>
      <c r="AE70" s="21" t="s">
        <v>94</v>
      </c>
      <c r="AF70" s="20" t="s">
        <v>93</v>
      </c>
      <c r="AG70" s="20" t="s">
        <v>93</v>
      </c>
      <c r="AH70" s="20" t="s">
        <v>93</v>
      </c>
      <c r="AI70" s="21" t="s">
        <v>94</v>
      </c>
    </row>
    <row r="71" customFormat="false" ht="57.75" hidden="false" customHeight="true" outlineLevel="0" collapsed="false">
      <c r="A71" s="22" t="n">
        <v>70</v>
      </c>
      <c r="B71" s="23" t="s">
        <v>76</v>
      </c>
      <c r="C71" s="22" t="s">
        <v>77</v>
      </c>
      <c r="D71" s="22" t="s">
        <v>78</v>
      </c>
      <c r="E71" s="24" t="s">
        <v>644</v>
      </c>
      <c r="F71" s="22" t="s">
        <v>360</v>
      </c>
      <c r="G71" s="22" t="s">
        <v>645</v>
      </c>
      <c r="H71" s="22" t="s">
        <v>520</v>
      </c>
      <c r="I71" s="22" t="s">
        <v>646</v>
      </c>
      <c r="J71" s="22"/>
      <c r="K71" s="25"/>
      <c r="L71" s="25"/>
      <c r="M71" s="22" t="s">
        <v>85</v>
      </c>
      <c r="N71" s="19" t="s">
        <v>54</v>
      </c>
      <c r="O71" s="22"/>
      <c r="P71" s="22"/>
      <c r="Q71" s="22"/>
      <c r="R71" s="22"/>
      <c r="S71" s="22"/>
      <c r="T71" s="19" t="s">
        <v>633</v>
      </c>
      <c r="U71" s="22"/>
      <c r="V71" s="22"/>
      <c r="W71" s="22" t="s">
        <v>647</v>
      </c>
      <c r="X71" s="22"/>
      <c r="Y71" s="22" t="s">
        <v>643</v>
      </c>
      <c r="Z71" s="22" t="s">
        <v>648</v>
      </c>
      <c r="AA71" s="20" t="s">
        <v>93</v>
      </c>
      <c r="AB71" s="21" t="s">
        <v>94</v>
      </c>
      <c r="AC71" s="21" t="s">
        <v>94</v>
      </c>
      <c r="AD71" s="21" t="s">
        <v>94</v>
      </c>
      <c r="AE71" s="21" t="s">
        <v>94</v>
      </c>
      <c r="AF71" s="21" t="s">
        <v>94</v>
      </c>
      <c r="AG71" s="20" t="s">
        <v>93</v>
      </c>
      <c r="AH71" s="21" t="s">
        <v>94</v>
      </c>
      <c r="AI71" s="21" t="s">
        <v>94</v>
      </c>
    </row>
    <row r="72" customFormat="false" ht="57.75" hidden="false" customHeight="true" outlineLevel="0" collapsed="false">
      <c r="A72" s="15" t="n">
        <v>71</v>
      </c>
      <c r="B72" s="16" t="s">
        <v>76</v>
      </c>
      <c r="C72" s="15" t="s">
        <v>77</v>
      </c>
      <c r="D72" s="15" t="s">
        <v>78</v>
      </c>
      <c r="E72" s="17" t="s">
        <v>649</v>
      </c>
      <c r="F72" s="15" t="s">
        <v>650</v>
      </c>
      <c r="G72" s="15" t="s">
        <v>651</v>
      </c>
      <c r="H72" s="15" t="s">
        <v>520</v>
      </c>
      <c r="I72" s="15" t="s">
        <v>652</v>
      </c>
      <c r="J72" s="15"/>
      <c r="K72" s="18"/>
      <c r="L72" s="18"/>
      <c r="M72" s="15" t="s">
        <v>85</v>
      </c>
      <c r="N72" s="15"/>
      <c r="O72" s="15"/>
      <c r="P72" s="15"/>
      <c r="Q72" s="15"/>
      <c r="R72" s="15"/>
      <c r="S72" s="15"/>
      <c r="T72" s="15"/>
      <c r="U72" s="15"/>
      <c r="V72" s="15"/>
      <c r="W72" s="15"/>
      <c r="X72" s="15" t="s">
        <v>653</v>
      </c>
      <c r="Y72" s="15" t="s">
        <v>643</v>
      </c>
      <c r="Z72" s="15" t="s">
        <v>654</v>
      </c>
      <c r="AA72" s="21" t="s">
        <v>94</v>
      </c>
      <c r="AB72" s="21" t="s">
        <v>94</v>
      </c>
      <c r="AC72" s="21" t="s">
        <v>94</v>
      </c>
      <c r="AD72" s="21" t="s">
        <v>94</v>
      </c>
      <c r="AE72" s="21" t="s">
        <v>94</v>
      </c>
      <c r="AF72" s="21" t="s">
        <v>94</v>
      </c>
      <c r="AG72" s="21" t="s">
        <v>94</v>
      </c>
      <c r="AH72" s="21" t="s">
        <v>94</v>
      </c>
      <c r="AI72" s="21" t="s">
        <v>94</v>
      </c>
    </row>
    <row r="73" customFormat="false" ht="57.75" hidden="false" customHeight="true" outlineLevel="0" collapsed="false">
      <c r="A73" s="22" t="n">
        <v>72</v>
      </c>
      <c r="B73" s="23" t="s">
        <v>76</v>
      </c>
      <c r="C73" s="22" t="s">
        <v>77</v>
      </c>
      <c r="D73" s="22" t="s">
        <v>78</v>
      </c>
      <c r="E73" s="24" t="s">
        <v>655</v>
      </c>
      <c r="F73" s="22" t="s">
        <v>656</v>
      </c>
      <c r="G73" s="22" t="s">
        <v>657</v>
      </c>
      <c r="H73" s="22" t="s">
        <v>82</v>
      </c>
      <c r="I73" s="22" t="s">
        <v>658</v>
      </c>
      <c r="J73" s="22"/>
      <c r="K73" s="25"/>
      <c r="L73" s="25"/>
      <c r="M73" s="22" t="s">
        <v>99</v>
      </c>
      <c r="N73" s="22"/>
      <c r="O73" s="22"/>
      <c r="P73" s="22"/>
      <c r="Q73" s="22"/>
      <c r="R73" s="22"/>
      <c r="S73" s="19" t="s">
        <v>200</v>
      </c>
      <c r="T73" s="19" t="s">
        <v>659</v>
      </c>
      <c r="U73" s="19" t="s">
        <v>660</v>
      </c>
      <c r="V73" s="22"/>
      <c r="W73" s="22" t="s">
        <v>661</v>
      </c>
      <c r="X73" s="22"/>
      <c r="Y73" s="22" t="s">
        <v>643</v>
      </c>
      <c r="Z73" s="22" t="s">
        <v>662</v>
      </c>
      <c r="AA73" s="21" t="s">
        <v>94</v>
      </c>
      <c r="AB73" s="21" t="s">
        <v>94</v>
      </c>
      <c r="AC73" s="21" t="s">
        <v>94</v>
      </c>
      <c r="AD73" s="21" t="s">
        <v>94</v>
      </c>
      <c r="AE73" s="21" t="s">
        <v>94</v>
      </c>
      <c r="AF73" s="20" t="s">
        <v>93</v>
      </c>
      <c r="AG73" s="20" t="s">
        <v>93</v>
      </c>
      <c r="AH73" s="20" t="s">
        <v>93</v>
      </c>
      <c r="AI73" s="21" t="s">
        <v>94</v>
      </c>
    </row>
    <row r="74" customFormat="false" ht="57.75" hidden="false" customHeight="true" outlineLevel="0" collapsed="false">
      <c r="A74" s="15" t="n">
        <v>73</v>
      </c>
      <c r="B74" s="16" t="s">
        <v>76</v>
      </c>
      <c r="C74" s="15" t="s">
        <v>77</v>
      </c>
      <c r="D74" s="15" t="s">
        <v>78</v>
      </c>
      <c r="E74" s="17" t="s">
        <v>663</v>
      </c>
      <c r="F74" s="15" t="s">
        <v>80</v>
      </c>
      <c r="G74" s="15" t="s">
        <v>664</v>
      </c>
      <c r="H74" s="15" t="s">
        <v>520</v>
      </c>
      <c r="I74" s="15" t="s">
        <v>665</v>
      </c>
      <c r="J74" s="15"/>
      <c r="K74" s="18"/>
      <c r="L74" s="18"/>
      <c r="M74" s="15" t="s">
        <v>85</v>
      </c>
      <c r="N74" s="15"/>
      <c r="O74" s="15"/>
      <c r="P74" s="15"/>
      <c r="Q74" s="15"/>
      <c r="R74" s="15"/>
      <c r="S74" s="15"/>
      <c r="T74" s="19" t="s">
        <v>633</v>
      </c>
      <c r="U74" s="19" t="s">
        <v>666</v>
      </c>
      <c r="V74" s="15"/>
      <c r="W74" s="15" t="s">
        <v>667</v>
      </c>
      <c r="X74" s="15"/>
      <c r="Y74" s="15" t="s">
        <v>668</v>
      </c>
      <c r="Z74" s="15" t="s">
        <v>669</v>
      </c>
      <c r="AA74" s="21" t="s">
        <v>94</v>
      </c>
      <c r="AB74" s="21" t="s">
        <v>94</v>
      </c>
      <c r="AC74" s="21" t="s">
        <v>94</v>
      </c>
      <c r="AD74" s="21" t="s">
        <v>94</v>
      </c>
      <c r="AE74" s="21" t="s">
        <v>94</v>
      </c>
      <c r="AF74" s="21" t="s">
        <v>94</v>
      </c>
      <c r="AG74" s="20" t="s">
        <v>93</v>
      </c>
      <c r="AH74" s="20" t="s">
        <v>93</v>
      </c>
      <c r="AI74" s="21" t="s">
        <v>94</v>
      </c>
    </row>
    <row r="75" customFormat="false" ht="57.75" hidden="false" customHeight="true" outlineLevel="0" collapsed="false">
      <c r="A75" s="22" t="n">
        <v>74</v>
      </c>
      <c r="B75" s="23" t="s">
        <v>76</v>
      </c>
      <c r="C75" s="22" t="s">
        <v>77</v>
      </c>
      <c r="D75" s="22" t="s">
        <v>78</v>
      </c>
      <c r="E75" s="24" t="s">
        <v>670</v>
      </c>
      <c r="F75" s="22" t="s">
        <v>671</v>
      </c>
      <c r="G75" s="22" t="s">
        <v>664</v>
      </c>
      <c r="H75" s="22" t="s">
        <v>520</v>
      </c>
      <c r="I75" s="22" t="s">
        <v>672</v>
      </c>
      <c r="J75" s="22"/>
      <c r="K75" s="25"/>
      <c r="L75" s="25"/>
      <c r="M75" s="22" t="s">
        <v>85</v>
      </c>
      <c r="N75" s="22"/>
      <c r="O75" s="22"/>
      <c r="P75" s="22"/>
      <c r="Q75" s="22"/>
      <c r="R75" s="22"/>
      <c r="S75" s="22"/>
      <c r="T75" s="22"/>
      <c r="U75" s="22"/>
      <c r="V75" s="22"/>
      <c r="W75" s="22" t="s">
        <v>673</v>
      </c>
      <c r="X75" s="22"/>
      <c r="Y75" s="22" t="s">
        <v>668</v>
      </c>
      <c r="Z75" s="22" t="s">
        <v>674</v>
      </c>
      <c r="AA75" s="21" t="s">
        <v>94</v>
      </c>
      <c r="AB75" s="21" t="s">
        <v>94</v>
      </c>
      <c r="AC75" s="21" t="s">
        <v>94</v>
      </c>
      <c r="AD75" s="21" t="s">
        <v>94</v>
      </c>
      <c r="AE75" s="21" t="s">
        <v>94</v>
      </c>
      <c r="AF75" s="21" t="s">
        <v>94</v>
      </c>
      <c r="AG75" s="21" t="s">
        <v>94</v>
      </c>
      <c r="AH75" s="21" t="s">
        <v>94</v>
      </c>
      <c r="AI75" s="21" t="s">
        <v>94</v>
      </c>
    </row>
    <row r="76" customFormat="false" ht="57.75" hidden="false" customHeight="true" outlineLevel="0" collapsed="false">
      <c r="A76" s="15" t="n">
        <v>75</v>
      </c>
      <c r="B76" s="16" t="s">
        <v>76</v>
      </c>
      <c r="C76" s="15" t="s">
        <v>77</v>
      </c>
      <c r="D76" s="15" t="s">
        <v>78</v>
      </c>
      <c r="E76" s="17" t="s">
        <v>675</v>
      </c>
      <c r="F76" s="15" t="s">
        <v>413</v>
      </c>
      <c r="G76" s="15" t="s">
        <v>676</v>
      </c>
      <c r="H76" s="15" t="s">
        <v>677</v>
      </c>
      <c r="I76" s="15" t="s">
        <v>678</v>
      </c>
      <c r="J76" s="15"/>
      <c r="K76" s="18"/>
      <c r="L76" s="18"/>
      <c r="M76" s="15" t="s">
        <v>94</v>
      </c>
      <c r="N76" s="19" t="s">
        <v>54</v>
      </c>
      <c r="O76" s="15"/>
      <c r="P76" s="15"/>
      <c r="Q76" s="19" t="s">
        <v>679</v>
      </c>
      <c r="R76" s="15"/>
      <c r="S76" s="19" t="s">
        <v>680</v>
      </c>
      <c r="T76" s="19" t="s">
        <v>679</v>
      </c>
      <c r="U76" s="19" t="s">
        <v>681</v>
      </c>
      <c r="V76" s="15"/>
      <c r="W76" s="15" t="s">
        <v>682</v>
      </c>
      <c r="X76" s="15"/>
      <c r="Y76" s="15" t="s">
        <v>683</v>
      </c>
      <c r="Z76" s="15" t="s">
        <v>684</v>
      </c>
      <c r="AA76" s="20" t="s">
        <v>93</v>
      </c>
      <c r="AB76" s="21" t="s">
        <v>94</v>
      </c>
      <c r="AC76" s="21" t="s">
        <v>94</v>
      </c>
      <c r="AD76" s="20" t="s">
        <v>93</v>
      </c>
      <c r="AE76" s="21" t="s">
        <v>94</v>
      </c>
      <c r="AF76" s="20" t="s">
        <v>93</v>
      </c>
      <c r="AG76" s="20" t="s">
        <v>93</v>
      </c>
      <c r="AH76" s="20" t="s">
        <v>93</v>
      </c>
      <c r="AI76" s="21" t="s">
        <v>94</v>
      </c>
    </row>
    <row r="77" customFormat="false" ht="57.75" hidden="false" customHeight="true" outlineLevel="0" collapsed="false">
      <c r="A77" s="22" t="n">
        <v>76</v>
      </c>
      <c r="B77" s="23" t="s">
        <v>76</v>
      </c>
      <c r="C77" s="22" t="s">
        <v>77</v>
      </c>
      <c r="D77" s="22" t="s">
        <v>78</v>
      </c>
      <c r="E77" s="24" t="s">
        <v>685</v>
      </c>
      <c r="F77" s="22" t="s">
        <v>686</v>
      </c>
      <c r="G77" s="22" t="s">
        <v>687</v>
      </c>
      <c r="H77" s="22" t="s">
        <v>82</v>
      </c>
      <c r="I77" s="22" t="s">
        <v>571</v>
      </c>
      <c r="J77" s="22"/>
      <c r="K77" s="25"/>
      <c r="L77" s="25"/>
      <c r="M77" s="22" t="s">
        <v>99</v>
      </c>
      <c r="N77" s="22"/>
      <c r="O77" s="22"/>
      <c r="P77" s="22"/>
      <c r="Q77" s="22"/>
      <c r="R77" s="22"/>
      <c r="S77" s="22"/>
      <c r="T77" s="19" t="s">
        <v>688</v>
      </c>
      <c r="U77" s="19" t="s">
        <v>689</v>
      </c>
      <c r="V77" s="22"/>
      <c r="W77" s="22" t="s">
        <v>690</v>
      </c>
      <c r="X77" s="22"/>
      <c r="Y77" s="22" t="s">
        <v>683</v>
      </c>
      <c r="Z77" s="22" t="s">
        <v>691</v>
      </c>
      <c r="AA77" s="21" t="s">
        <v>94</v>
      </c>
      <c r="AB77" s="21" t="s">
        <v>94</v>
      </c>
      <c r="AC77" s="21" t="s">
        <v>94</v>
      </c>
      <c r="AD77" s="21" t="s">
        <v>94</v>
      </c>
      <c r="AE77" s="21" t="s">
        <v>94</v>
      </c>
      <c r="AF77" s="21" t="s">
        <v>94</v>
      </c>
      <c r="AG77" s="20" t="s">
        <v>93</v>
      </c>
      <c r="AH77" s="20" t="s">
        <v>93</v>
      </c>
      <c r="AI77" s="21" t="s">
        <v>94</v>
      </c>
    </row>
    <row r="78" customFormat="false" ht="57.75" hidden="false" customHeight="true" outlineLevel="0" collapsed="false">
      <c r="A78" s="15" t="n">
        <v>77</v>
      </c>
      <c r="B78" s="16" t="s">
        <v>76</v>
      </c>
      <c r="C78" s="15" t="s">
        <v>77</v>
      </c>
      <c r="D78" s="15" t="s">
        <v>78</v>
      </c>
      <c r="E78" s="17" t="s">
        <v>692</v>
      </c>
      <c r="F78" s="15" t="s">
        <v>693</v>
      </c>
      <c r="G78" s="15" t="s">
        <v>694</v>
      </c>
      <c r="H78" s="15" t="s">
        <v>227</v>
      </c>
      <c r="I78" s="15" t="s">
        <v>695</v>
      </c>
      <c r="J78" s="15"/>
      <c r="K78" s="18"/>
      <c r="L78" s="18"/>
      <c r="M78" s="15" t="s">
        <v>94</v>
      </c>
      <c r="N78" s="15"/>
      <c r="O78" s="15"/>
      <c r="P78" s="15"/>
      <c r="Q78" s="15"/>
      <c r="R78" s="15"/>
      <c r="S78" s="15"/>
      <c r="T78" s="15"/>
      <c r="U78" s="15"/>
      <c r="V78" s="15"/>
      <c r="W78" s="15" t="s">
        <v>390</v>
      </c>
      <c r="X78" s="15"/>
      <c r="Y78" s="15" t="s">
        <v>683</v>
      </c>
      <c r="Z78" s="15" t="s">
        <v>654</v>
      </c>
      <c r="AA78" s="21" t="s">
        <v>94</v>
      </c>
      <c r="AB78" s="21" t="s">
        <v>94</v>
      </c>
      <c r="AC78" s="21" t="s">
        <v>94</v>
      </c>
      <c r="AD78" s="21" t="s">
        <v>94</v>
      </c>
      <c r="AE78" s="21" t="s">
        <v>94</v>
      </c>
      <c r="AF78" s="21" t="s">
        <v>94</v>
      </c>
      <c r="AG78" s="21" t="s">
        <v>94</v>
      </c>
      <c r="AH78" s="21" t="s">
        <v>94</v>
      </c>
      <c r="AI78" s="21" t="s">
        <v>94</v>
      </c>
    </row>
    <row r="79" customFormat="false" ht="57.75" hidden="false" customHeight="true" outlineLevel="0" collapsed="false">
      <c r="A79" s="22" t="n">
        <v>78</v>
      </c>
      <c r="B79" s="23" t="s">
        <v>76</v>
      </c>
      <c r="C79" s="22" t="s">
        <v>77</v>
      </c>
      <c r="D79" s="22" t="s">
        <v>78</v>
      </c>
      <c r="E79" s="24" t="s">
        <v>696</v>
      </c>
      <c r="F79" s="22" t="s">
        <v>697</v>
      </c>
      <c r="G79" s="22" t="s">
        <v>698</v>
      </c>
      <c r="H79" s="22" t="s">
        <v>227</v>
      </c>
      <c r="I79" s="22" t="s">
        <v>699</v>
      </c>
      <c r="J79" s="22"/>
      <c r="K79" s="25"/>
      <c r="L79" s="25"/>
      <c r="M79" s="22" t="s">
        <v>94</v>
      </c>
      <c r="N79" s="22"/>
      <c r="O79" s="22"/>
      <c r="P79" s="22"/>
      <c r="Q79" s="22"/>
      <c r="R79" s="22"/>
      <c r="S79" s="22"/>
      <c r="T79" s="22"/>
      <c r="U79" s="22"/>
      <c r="V79" s="22"/>
      <c r="W79" s="22" t="s">
        <v>700</v>
      </c>
      <c r="X79" s="22"/>
      <c r="Y79" s="22" t="s">
        <v>701</v>
      </c>
      <c r="Z79" s="22" t="s">
        <v>669</v>
      </c>
      <c r="AA79" s="21" t="s">
        <v>94</v>
      </c>
      <c r="AB79" s="21" t="s">
        <v>94</v>
      </c>
      <c r="AC79" s="21" t="s">
        <v>94</v>
      </c>
      <c r="AD79" s="21" t="s">
        <v>94</v>
      </c>
      <c r="AE79" s="21" t="s">
        <v>94</v>
      </c>
      <c r="AF79" s="21" t="s">
        <v>94</v>
      </c>
      <c r="AG79" s="21" t="s">
        <v>94</v>
      </c>
      <c r="AH79" s="21" t="s">
        <v>94</v>
      </c>
      <c r="AI79" s="21" t="s">
        <v>94</v>
      </c>
    </row>
    <row r="80" customFormat="false" ht="57.75" hidden="false" customHeight="true" outlineLevel="0" collapsed="false">
      <c r="A80" s="15" t="n">
        <v>79</v>
      </c>
      <c r="B80" s="16" t="s">
        <v>76</v>
      </c>
      <c r="C80" s="15" t="s">
        <v>77</v>
      </c>
      <c r="D80" s="15" t="s">
        <v>78</v>
      </c>
      <c r="E80" s="17" t="s">
        <v>702</v>
      </c>
      <c r="F80" s="15" t="s">
        <v>528</v>
      </c>
      <c r="G80" s="15" t="s">
        <v>698</v>
      </c>
      <c r="H80" s="15" t="s">
        <v>227</v>
      </c>
      <c r="I80" s="15" t="s">
        <v>703</v>
      </c>
      <c r="J80" s="15" t="s">
        <v>704</v>
      </c>
      <c r="K80" s="18" t="n">
        <v>2180</v>
      </c>
      <c r="L80" s="18" t="n">
        <v>2180</v>
      </c>
      <c r="M80" s="15" t="s">
        <v>94</v>
      </c>
      <c r="N80" s="15"/>
      <c r="O80" s="15"/>
      <c r="P80" s="15"/>
      <c r="Q80" s="19" t="s">
        <v>705</v>
      </c>
      <c r="R80" s="15"/>
      <c r="S80" s="15"/>
      <c r="T80" s="19" t="s">
        <v>706</v>
      </c>
      <c r="U80" s="15"/>
      <c r="V80" s="19" t="s">
        <v>533</v>
      </c>
      <c r="W80" s="15" t="s">
        <v>180</v>
      </c>
      <c r="X80" s="15"/>
      <c r="Y80" s="15" t="s">
        <v>701</v>
      </c>
      <c r="Z80" s="15" t="s">
        <v>707</v>
      </c>
      <c r="AA80" s="21" t="s">
        <v>94</v>
      </c>
      <c r="AB80" s="21" t="s">
        <v>94</v>
      </c>
      <c r="AC80" s="21" t="s">
        <v>94</v>
      </c>
      <c r="AD80" s="20" t="s">
        <v>93</v>
      </c>
      <c r="AE80" s="21" t="s">
        <v>94</v>
      </c>
      <c r="AF80" s="21" t="s">
        <v>94</v>
      </c>
      <c r="AG80" s="20" t="s">
        <v>93</v>
      </c>
      <c r="AH80" s="21" t="s">
        <v>94</v>
      </c>
      <c r="AI80" s="20" t="s">
        <v>93</v>
      </c>
    </row>
    <row r="81" customFormat="false" ht="57.75" hidden="false" customHeight="true" outlineLevel="0" collapsed="false">
      <c r="A81" s="22" t="n">
        <v>80</v>
      </c>
      <c r="B81" s="23" t="s">
        <v>76</v>
      </c>
      <c r="C81" s="22" t="s">
        <v>77</v>
      </c>
      <c r="D81" s="22" t="s">
        <v>78</v>
      </c>
      <c r="E81" s="24" t="s">
        <v>708</v>
      </c>
      <c r="F81" s="22" t="s">
        <v>343</v>
      </c>
      <c r="G81" s="22" t="s">
        <v>698</v>
      </c>
      <c r="H81" s="22" t="s">
        <v>520</v>
      </c>
      <c r="I81" s="22" t="s">
        <v>709</v>
      </c>
      <c r="J81" s="22"/>
      <c r="K81" s="25"/>
      <c r="L81" s="25"/>
      <c r="M81" s="22" t="s">
        <v>85</v>
      </c>
      <c r="N81" s="22"/>
      <c r="O81" s="22"/>
      <c r="P81" s="22"/>
      <c r="Q81" s="22"/>
      <c r="R81" s="22"/>
      <c r="S81" s="22"/>
      <c r="T81" s="22"/>
      <c r="U81" s="19" t="s">
        <v>710</v>
      </c>
      <c r="V81" s="22"/>
      <c r="W81" s="22" t="s">
        <v>711</v>
      </c>
      <c r="X81" s="22"/>
      <c r="Y81" s="22" t="s">
        <v>701</v>
      </c>
      <c r="Z81" s="22" t="s">
        <v>588</v>
      </c>
      <c r="AA81" s="21" t="s">
        <v>94</v>
      </c>
      <c r="AB81" s="21" t="s">
        <v>94</v>
      </c>
      <c r="AC81" s="21" t="s">
        <v>94</v>
      </c>
      <c r="AD81" s="21" t="s">
        <v>94</v>
      </c>
      <c r="AE81" s="21" t="s">
        <v>94</v>
      </c>
      <c r="AF81" s="21" t="s">
        <v>94</v>
      </c>
      <c r="AG81" s="21" t="s">
        <v>94</v>
      </c>
      <c r="AH81" s="20" t="s">
        <v>93</v>
      </c>
      <c r="AI81" s="21" t="s">
        <v>94</v>
      </c>
    </row>
    <row r="82" customFormat="false" ht="57.75" hidden="false" customHeight="true" outlineLevel="0" collapsed="false">
      <c r="A82" s="15" t="n">
        <v>81</v>
      </c>
      <c r="B82" s="16" t="s">
        <v>76</v>
      </c>
      <c r="C82" s="15" t="s">
        <v>77</v>
      </c>
      <c r="D82" s="15" t="s">
        <v>78</v>
      </c>
      <c r="E82" s="17" t="s">
        <v>712</v>
      </c>
      <c r="F82" s="15" t="s">
        <v>560</v>
      </c>
      <c r="G82" s="15" t="s">
        <v>698</v>
      </c>
      <c r="H82" s="15" t="s">
        <v>227</v>
      </c>
      <c r="I82" s="15" t="s">
        <v>713</v>
      </c>
      <c r="J82" s="15"/>
      <c r="K82" s="18"/>
      <c r="L82" s="18"/>
      <c r="M82" s="15" t="s">
        <v>94</v>
      </c>
      <c r="N82" s="19" t="s">
        <v>54</v>
      </c>
      <c r="O82" s="15"/>
      <c r="P82" s="15"/>
      <c r="Q82" s="15"/>
      <c r="R82" s="15"/>
      <c r="S82" s="15"/>
      <c r="T82" s="19" t="s">
        <v>633</v>
      </c>
      <c r="U82" s="19" t="s">
        <v>714</v>
      </c>
      <c r="V82" s="15"/>
      <c r="W82" s="15" t="s">
        <v>715</v>
      </c>
      <c r="X82" s="15"/>
      <c r="Y82" s="15" t="s">
        <v>701</v>
      </c>
      <c r="Z82" s="15" t="s">
        <v>182</v>
      </c>
      <c r="AA82" s="20" t="s">
        <v>93</v>
      </c>
      <c r="AB82" s="21" t="s">
        <v>94</v>
      </c>
      <c r="AC82" s="21" t="s">
        <v>94</v>
      </c>
      <c r="AD82" s="21" t="s">
        <v>94</v>
      </c>
      <c r="AE82" s="21" t="s">
        <v>94</v>
      </c>
      <c r="AF82" s="21" t="s">
        <v>94</v>
      </c>
      <c r="AG82" s="20" t="s">
        <v>93</v>
      </c>
      <c r="AH82" s="20" t="s">
        <v>93</v>
      </c>
      <c r="AI82" s="21" t="s">
        <v>94</v>
      </c>
    </row>
    <row r="83" customFormat="false" ht="57.75" hidden="false" customHeight="true" outlineLevel="0" collapsed="false">
      <c r="A83" s="22" t="n">
        <v>82</v>
      </c>
      <c r="B83" s="23" t="s">
        <v>76</v>
      </c>
      <c r="C83" s="22" t="s">
        <v>77</v>
      </c>
      <c r="D83" s="22" t="s">
        <v>78</v>
      </c>
      <c r="E83" s="24" t="s">
        <v>716</v>
      </c>
      <c r="F83" s="22" t="s">
        <v>717</v>
      </c>
      <c r="G83" s="22" t="s">
        <v>698</v>
      </c>
      <c r="H83" s="22" t="s">
        <v>520</v>
      </c>
      <c r="I83" s="22" t="s">
        <v>718</v>
      </c>
      <c r="J83" s="22" t="s">
        <v>719</v>
      </c>
      <c r="K83" s="25" t="n">
        <v>1575</v>
      </c>
      <c r="L83" s="25" t="n">
        <v>1575</v>
      </c>
      <c r="M83" s="22" t="s">
        <v>85</v>
      </c>
      <c r="N83" s="22"/>
      <c r="O83" s="22"/>
      <c r="P83" s="22"/>
      <c r="Q83" s="22"/>
      <c r="R83" s="22"/>
      <c r="S83" s="22"/>
      <c r="T83" s="19" t="s">
        <v>633</v>
      </c>
      <c r="U83" s="19" t="s">
        <v>510</v>
      </c>
      <c r="V83" s="22"/>
      <c r="W83" s="22" t="s">
        <v>720</v>
      </c>
      <c r="X83" s="22" t="s">
        <v>721</v>
      </c>
      <c r="Y83" s="22" t="s">
        <v>701</v>
      </c>
      <c r="Z83" s="22" t="s">
        <v>722</v>
      </c>
      <c r="AA83" s="21" t="s">
        <v>94</v>
      </c>
      <c r="AB83" s="21" t="s">
        <v>94</v>
      </c>
      <c r="AC83" s="21" t="s">
        <v>94</v>
      </c>
      <c r="AD83" s="21" t="s">
        <v>94</v>
      </c>
      <c r="AE83" s="21" t="s">
        <v>94</v>
      </c>
      <c r="AF83" s="21" t="s">
        <v>94</v>
      </c>
      <c r="AG83" s="20" t="s">
        <v>93</v>
      </c>
      <c r="AH83" s="20" t="s">
        <v>93</v>
      </c>
      <c r="AI83" s="21" t="s">
        <v>94</v>
      </c>
    </row>
    <row r="84" customFormat="false" ht="57.75" hidden="false" customHeight="true" outlineLevel="0" collapsed="false">
      <c r="A84" s="15" t="n">
        <v>83</v>
      </c>
      <c r="B84" s="16" t="s">
        <v>76</v>
      </c>
      <c r="C84" s="15" t="s">
        <v>77</v>
      </c>
      <c r="D84" s="15" t="s">
        <v>78</v>
      </c>
      <c r="E84" s="17" t="s">
        <v>723</v>
      </c>
      <c r="F84" s="15" t="s">
        <v>724</v>
      </c>
      <c r="G84" s="15" t="s">
        <v>725</v>
      </c>
      <c r="H84" s="15" t="s">
        <v>520</v>
      </c>
      <c r="I84" s="15" t="s">
        <v>726</v>
      </c>
      <c r="J84" s="15"/>
      <c r="K84" s="18"/>
      <c r="L84" s="18"/>
      <c r="M84" s="15" t="s">
        <v>85</v>
      </c>
      <c r="N84" s="15"/>
      <c r="O84" s="15"/>
      <c r="P84" s="15"/>
      <c r="Q84" s="15"/>
      <c r="R84" s="15"/>
      <c r="S84" s="19" t="s">
        <v>727</v>
      </c>
      <c r="T84" s="15"/>
      <c r="U84" s="19" t="s">
        <v>728</v>
      </c>
      <c r="V84" s="15"/>
      <c r="W84" s="15" t="s">
        <v>534</v>
      </c>
      <c r="X84" s="15"/>
      <c r="Y84" s="15"/>
      <c r="Z84" s="15" t="s">
        <v>707</v>
      </c>
      <c r="AA84" s="21" t="s">
        <v>94</v>
      </c>
      <c r="AB84" s="21" t="s">
        <v>94</v>
      </c>
      <c r="AC84" s="21" t="s">
        <v>94</v>
      </c>
      <c r="AD84" s="21" t="s">
        <v>94</v>
      </c>
      <c r="AE84" s="21" t="s">
        <v>94</v>
      </c>
      <c r="AF84" s="20" t="s">
        <v>93</v>
      </c>
      <c r="AG84" s="21" t="s">
        <v>94</v>
      </c>
      <c r="AH84" s="20" t="s">
        <v>93</v>
      </c>
      <c r="AI84" s="21" t="s">
        <v>94</v>
      </c>
    </row>
    <row r="85" customFormat="false" ht="57.75" hidden="false" customHeight="true" outlineLevel="0" collapsed="false">
      <c r="A85" s="22" t="n">
        <v>84</v>
      </c>
      <c r="B85" s="23" t="s">
        <v>76</v>
      </c>
      <c r="C85" s="22" t="s">
        <v>77</v>
      </c>
      <c r="D85" s="22" t="s">
        <v>78</v>
      </c>
      <c r="E85" s="24" t="s">
        <v>729</v>
      </c>
      <c r="F85" s="22" t="s">
        <v>171</v>
      </c>
      <c r="G85" s="22" t="s">
        <v>730</v>
      </c>
      <c r="H85" s="22" t="s">
        <v>227</v>
      </c>
      <c r="I85" s="22" t="s">
        <v>731</v>
      </c>
      <c r="J85" s="22"/>
      <c r="K85" s="25"/>
      <c r="L85" s="25"/>
      <c r="M85" s="22" t="s">
        <v>94</v>
      </c>
      <c r="N85" s="19" t="s">
        <v>54</v>
      </c>
      <c r="O85" s="22"/>
      <c r="P85" s="22"/>
      <c r="Q85" s="22"/>
      <c r="R85" s="22"/>
      <c r="S85" s="19" t="s">
        <v>200</v>
      </c>
      <c r="T85" s="19" t="s">
        <v>732</v>
      </c>
      <c r="U85" s="19" t="s">
        <v>733</v>
      </c>
      <c r="V85" s="22"/>
      <c r="W85" s="22" t="s">
        <v>734</v>
      </c>
      <c r="X85" s="22"/>
      <c r="Y85" s="22"/>
      <c r="Z85" s="22" t="s">
        <v>735</v>
      </c>
      <c r="AA85" s="20" t="s">
        <v>93</v>
      </c>
      <c r="AB85" s="21" t="s">
        <v>94</v>
      </c>
      <c r="AC85" s="21" t="s">
        <v>94</v>
      </c>
      <c r="AD85" s="21" t="s">
        <v>94</v>
      </c>
      <c r="AE85" s="21" t="s">
        <v>94</v>
      </c>
      <c r="AF85" s="20" t="s">
        <v>93</v>
      </c>
      <c r="AG85" s="20" t="s">
        <v>93</v>
      </c>
      <c r="AH85" s="20" t="s">
        <v>93</v>
      </c>
      <c r="AI85" s="21" t="s">
        <v>94</v>
      </c>
    </row>
    <row r="86" customFormat="false" ht="57.75" hidden="false" customHeight="true" outlineLevel="0" collapsed="false">
      <c r="A86" s="15" t="n">
        <v>85</v>
      </c>
      <c r="B86" s="16" t="s">
        <v>76</v>
      </c>
      <c r="C86" s="15" t="s">
        <v>77</v>
      </c>
      <c r="D86" s="15" t="s">
        <v>78</v>
      </c>
      <c r="E86" s="17" t="s">
        <v>736</v>
      </c>
      <c r="F86" s="15" t="s">
        <v>737</v>
      </c>
      <c r="G86" s="15" t="s">
        <v>738</v>
      </c>
      <c r="H86" s="15" t="s">
        <v>227</v>
      </c>
      <c r="I86" s="15" t="s">
        <v>739</v>
      </c>
      <c r="J86" s="15"/>
      <c r="K86" s="18"/>
      <c r="L86" s="18"/>
      <c r="M86" s="15" t="s">
        <v>94</v>
      </c>
      <c r="N86" s="15"/>
      <c r="O86" s="15"/>
      <c r="P86" s="15"/>
      <c r="Q86" s="15"/>
      <c r="R86" s="15"/>
      <c r="S86" s="15"/>
      <c r="T86" s="15"/>
      <c r="U86" s="19" t="s">
        <v>740</v>
      </c>
      <c r="V86" s="15"/>
      <c r="W86" s="15" t="s">
        <v>741</v>
      </c>
      <c r="X86" s="15"/>
      <c r="Y86" s="15"/>
      <c r="Z86" s="15" t="s">
        <v>742</v>
      </c>
      <c r="AA86" s="21" t="s">
        <v>94</v>
      </c>
      <c r="AB86" s="21" t="s">
        <v>94</v>
      </c>
      <c r="AC86" s="21" t="s">
        <v>94</v>
      </c>
      <c r="AD86" s="21" t="s">
        <v>94</v>
      </c>
      <c r="AE86" s="21" t="s">
        <v>94</v>
      </c>
      <c r="AF86" s="21" t="s">
        <v>94</v>
      </c>
      <c r="AG86" s="21" t="s">
        <v>94</v>
      </c>
      <c r="AH86" s="20" t="s">
        <v>93</v>
      </c>
      <c r="AI86" s="21" t="s">
        <v>94</v>
      </c>
    </row>
    <row r="87" customFormat="false" ht="57.75" hidden="false" customHeight="true" outlineLevel="0" collapsed="false">
      <c r="A87" s="22" t="n">
        <v>86</v>
      </c>
      <c r="B87" s="23" t="s">
        <v>76</v>
      </c>
      <c r="C87" s="22" t="s">
        <v>77</v>
      </c>
      <c r="D87" s="22" t="s">
        <v>78</v>
      </c>
      <c r="E87" s="24" t="s">
        <v>743</v>
      </c>
      <c r="F87" s="22" t="s">
        <v>743</v>
      </c>
      <c r="G87" s="22" t="s">
        <v>744</v>
      </c>
      <c r="H87" s="22" t="s">
        <v>520</v>
      </c>
      <c r="I87" s="22" t="s">
        <v>745</v>
      </c>
      <c r="J87" s="22"/>
      <c r="K87" s="25"/>
      <c r="L87" s="25"/>
      <c r="M87" s="22" t="s">
        <v>85</v>
      </c>
      <c r="N87" s="22"/>
      <c r="O87" s="22"/>
      <c r="P87" s="22"/>
      <c r="Q87" s="22"/>
      <c r="R87" s="22"/>
      <c r="S87" s="22"/>
      <c r="T87" s="19" t="s">
        <v>746</v>
      </c>
      <c r="U87" s="19" t="s">
        <v>747</v>
      </c>
      <c r="V87" s="22"/>
      <c r="W87" s="22" t="s">
        <v>748</v>
      </c>
      <c r="X87" s="22"/>
      <c r="Y87" s="22" t="s">
        <v>749</v>
      </c>
      <c r="Z87" s="22" t="s">
        <v>750</v>
      </c>
      <c r="AA87" s="21" t="s">
        <v>94</v>
      </c>
      <c r="AB87" s="21" t="s">
        <v>94</v>
      </c>
      <c r="AC87" s="21" t="s">
        <v>94</v>
      </c>
      <c r="AD87" s="21" t="s">
        <v>94</v>
      </c>
      <c r="AE87" s="21" t="s">
        <v>94</v>
      </c>
      <c r="AF87" s="21" t="s">
        <v>94</v>
      </c>
      <c r="AG87" s="20" t="s">
        <v>93</v>
      </c>
      <c r="AH87" s="20" t="s">
        <v>93</v>
      </c>
      <c r="AI87" s="21" t="s">
        <v>94</v>
      </c>
    </row>
    <row r="88" customFormat="false" ht="57.75" hidden="false" customHeight="true" outlineLevel="0" collapsed="false">
      <c r="A88" s="15" t="n">
        <v>87</v>
      </c>
      <c r="B88" s="16" t="s">
        <v>76</v>
      </c>
      <c r="C88" s="15" t="s">
        <v>77</v>
      </c>
      <c r="D88" s="15" t="s">
        <v>78</v>
      </c>
      <c r="E88" s="17" t="s">
        <v>751</v>
      </c>
      <c r="F88" s="15" t="s">
        <v>528</v>
      </c>
      <c r="G88" s="15" t="s">
        <v>505</v>
      </c>
      <c r="H88" s="15" t="s">
        <v>227</v>
      </c>
      <c r="I88" s="15" t="s">
        <v>752</v>
      </c>
      <c r="J88" s="15" t="s">
        <v>753</v>
      </c>
      <c r="K88" s="18" t="n">
        <v>2315</v>
      </c>
      <c r="L88" s="18" t="n">
        <v>2315</v>
      </c>
      <c r="M88" s="15" t="s">
        <v>94</v>
      </c>
      <c r="N88" s="15"/>
      <c r="O88" s="15"/>
      <c r="P88" s="19" t="s">
        <v>754</v>
      </c>
      <c r="Q88" s="19" t="s">
        <v>755</v>
      </c>
      <c r="R88" s="15"/>
      <c r="S88" s="15"/>
      <c r="T88" s="19" t="s">
        <v>756</v>
      </c>
      <c r="U88" s="15"/>
      <c r="V88" s="19" t="s">
        <v>533</v>
      </c>
      <c r="W88" s="15" t="s">
        <v>757</v>
      </c>
      <c r="X88" s="15"/>
      <c r="Y88" s="15" t="s">
        <v>758</v>
      </c>
      <c r="Z88" s="15" t="s">
        <v>194</v>
      </c>
      <c r="AA88" s="21" t="s">
        <v>94</v>
      </c>
      <c r="AB88" s="21" t="s">
        <v>94</v>
      </c>
      <c r="AC88" s="20" t="s">
        <v>93</v>
      </c>
      <c r="AD88" s="20" t="s">
        <v>93</v>
      </c>
      <c r="AE88" s="21" t="s">
        <v>94</v>
      </c>
      <c r="AF88" s="21" t="s">
        <v>94</v>
      </c>
      <c r="AG88" s="20" t="s">
        <v>93</v>
      </c>
      <c r="AH88" s="21" t="s">
        <v>94</v>
      </c>
      <c r="AI88" s="20" t="s">
        <v>93</v>
      </c>
    </row>
    <row r="89" customFormat="false" ht="57.75" hidden="false" customHeight="true" outlineLevel="0" collapsed="false">
      <c r="A89" s="22" t="n">
        <v>88</v>
      </c>
      <c r="B89" s="23" t="s">
        <v>76</v>
      </c>
      <c r="C89" s="22" t="s">
        <v>77</v>
      </c>
      <c r="D89" s="22" t="s">
        <v>78</v>
      </c>
      <c r="E89" s="24" t="s">
        <v>759</v>
      </c>
      <c r="F89" s="22" t="s">
        <v>760</v>
      </c>
      <c r="G89" s="22" t="s">
        <v>761</v>
      </c>
      <c r="H89" s="22" t="s">
        <v>520</v>
      </c>
      <c r="I89" s="22" t="s">
        <v>762</v>
      </c>
      <c r="J89" s="22"/>
      <c r="K89" s="25"/>
      <c r="L89" s="25"/>
      <c r="M89" s="22" t="s">
        <v>85</v>
      </c>
      <c r="N89" s="22"/>
      <c r="O89" s="22"/>
      <c r="P89" s="22"/>
      <c r="Q89" s="22"/>
      <c r="R89" s="22"/>
      <c r="S89" s="22"/>
      <c r="T89" s="19" t="s">
        <v>633</v>
      </c>
      <c r="U89" s="19" t="s">
        <v>763</v>
      </c>
      <c r="V89" s="22"/>
      <c r="W89" s="22" t="s">
        <v>573</v>
      </c>
      <c r="X89" s="22"/>
      <c r="Y89" s="22" t="s">
        <v>758</v>
      </c>
      <c r="Z89" s="22" t="s">
        <v>764</v>
      </c>
      <c r="AA89" s="21" t="s">
        <v>94</v>
      </c>
      <c r="AB89" s="21" t="s">
        <v>94</v>
      </c>
      <c r="AC89" s="21" t="s">
        <v>94</v>
      </c>
      <c r="AD89" s="21" t="s">
        <v>94</v>
      </c>
      <c r="AE89" s="21" t="s">
        <v>94</v>
      </c>
      <c r="AF89" s="21" t="s">
        <v>94</v>
      </c>
      <c r="AG89" s="20" t="s">
        <v>93</v>
      </c>
      <c r="AH89" s="20" t="s">
        <v>93</v>
      </c>
      <c r="AI89" s="21" t="s">
        <v>94</v>
      </c>
    </row>
    <row r="90" customFormat="false" ht="57.75" hidden="false" customHeight="true" outlineLevel="0" collapsed="false">
      <c r="A90" s="15" t="n">
        <v>89</v>
      </c>
      <c r="B90" s="16" t="s">
        <v>76</v>
      </c>
      <c r="C90" s="15" t="s">
        <v>77</v>
      </c>
      <c r="D90" s="15" t="s">
        <v>78</v>
      </c>
      <c r="E90" s="17" t="s">
        <v>765</v>
      </c>
      <c r="F90" s="15" t="s">
        <v>80</v>
      </c>
      <c r="G90" s="15" t="s">
        <v>766</v>
      </c>
      <c r="H90" s="15" t="s">
        <v>520</v>
      </c>
      <c r="I90" s="15" t="s">
        <v>767</v>
      </c>
      <c r="J90" s="15"/>
      <c r="K90" s="18"/>
      <c r="L90" s="18"/>
      <c r="M90" s="15" t="s">
        <v>85</v>
      </c>
      <c r="N90" s="15"/>
      <c r="O90" s="15"/>
      <c r="P90" s="15"/>
      <c r="Q90" s="15"/>
      <c r="R90" s="15"/>
      <c r="S90" s="19" t="s">
        <v>89</v>
      </c>
      <c r="T90" s="19" t="s">
        <v>437</v>
      </c>
      <c r="U90" s="19" t="s">
        <v>768</v>
      </c>
      <c r="V90" s="15"/>
      <c r="W90" s="15" t="s">
        <v>769</v>
      </c>
      <c r="X90" s="15"/>
      <c r="Y90" s="15" t="s">
        <v>758</v>
      </c>
      <c r="Z90" s="15" t="s">
        <v>770</v>
      </c>
      <c r="AA90" s="21" t="s">
        <v>94</v>
      </c>
      <c r="AB90" s="21" t="s">
        <v>94</v>
      </c>
      <c r="AC90" s="21" t="s">
        <v>94</v>
      </c>
      <c r="AD90" s="21" t="s">
        <v>94</v>
      </c>
      <c r="AE90" s="21" t="s">
        <v>94</v>
      </c>
      <c r="AF90" s="20" t="s">
        <v>93</v>
      </c>
      <c r="AG90" s="20" t="s">
        <v>93</v>
      </c>
      <c r="AH90" s="20" t="s">
        <v>93</v>
      </c>
      <c r="AI90" s="21" t="s">
        <v>94</v>
      </c>
    </row>
    <row r="91" customFormat="false" ht="57.75" hidden="false" customHeight="true" outlineLevel="0" collapsed="false">
      <c r="A91" s="22" t="n">
        <v>90</v>
      </c>
      <c r="B91" s="23" t="s">
        <v>76</v>
      </c>
      <c r="C91" s="22" t="s">
        <v>77</v>
      </c>
      <c r="D91" s="22" t="s">
        <v>78</v>
      </c>
      <c r="E91" s="24" t="s">
        <v>771</v>
      </c>
      <c r="F91" s="22" t="s">
        <v>772</v>
      </c>
      <c r="G91" s="22" t="s">
        <v>761</v>
      </c>
      <c r="H91" s="22" t="s">
        <v>82</v>
      </c>
      <c r="I91" s="22" t="s">
        <v>773</v>
      </c>
      <c r="J91" s="22"/>
      <c r="K91" s="25"/>
      <c r="L91" s="25"/>
      <c r="M91" s="22" t="s">
        <v>99</v>
      </c>
      <c r="N91" s="22"/>
      <c r="O91" s="22"/>
      <c r="P91" s="22"/>
      <c r="Q91" s="22"/>
      <c r="R91" s="22"/>
      <c r="S91" s="19" t="s">
        <v>774</v>
      </c>
      <c r="T91" s="19" t="s">
        <v>633</v>
      </c>
      <c r="U91" s="19" t="s">
        <v>775</v>
      </c>
      <c r="V91" s="22"/>
      <c r="W91" s="22" t="s">
        <v>776</v>
      </c>
      <c r="X91" s="22"/>
      <c r="Y91" s="22"/>
      <c r="Z91" s="22" t="s">
        <v>777</v>
      </c>
      <c r="AA91" s="21" t="s">
        <v>94</v>
      </c>
      <c r="AB91" s="21" t="s">
        <v>94</v>
      </c>
      <c r="AC91" s="21" t="s">
        <v>94</v>
      </c>
      <c r="AD91" s="21" t="s">
        <v>94</v>
      </c>
      <c r="AE91" s="21" t="s">
        <v>94</v>
      </c>
      <c r="AF91" s="20" t="s">
        <v>93</v>
      </c>
      <c r="AG91" s="20" t="s">
        <v>93</v>
      </c>
      <c r="AH91" s="20" t="s">
        <v>93</v>
      </c>
      <c r="AI91" s="21" t="s">
        <v>94</v>
      </c>
    </row>
    <row r="92" customFormat="false" ht="57.75" hidden="false" customHeight="true" outlineLevel="0" collapsed="false">
      <c r="A92" s="15" t="n">
        <v>91</v>
      </c>
      <c r="B92" s="16" t="s">
        <v>76</v>
      </c>
      <c r="C92" s="15" t="s">
        <v>77</v>
      </c>
      <c r="D92" s="15" t="s">
        <v>78</v>
      </c>
      <c r="E92" s="17" t="s">
        <v>778</v>
      </c>
      <c r="F92" s="15" t="s">
        <v>560</v>
      </c>
      <c r="G92" s="15" t="s">
        <v>505</v>
      </c>
      <c r="H92" s="15" t="s">
        <v>779</v>
      </c>
      <c r="I92" s="15" t="s">
        <v>780</v>
      </c>
      <c r="J92" s="15" t="s">
        <v>781</v>
      </c>
      <c r="K92" s="18" t="n">
        <v>1865</v>
      </c>
      <c r="L92" s="18" t="n">
        <v>1865</v>
      </c>
      <c r="M92" s="15" t="s">
        <v>94</v>
      </c>
      <c r="N92" s="19" t="s">
        <v>54</v>
      </c>
      <c r="O92" s="15"/>
      <c r="P92" s="15"/>
      <c r="Q92" s="15"/>
      <c r="R92" s="15"/>
      <c r="S92" s="15"/>
      <c r="T92" s="19" t="s">
        <v>633</v>
      </c>
      <c r="U92" s="19" t="s">
        <v>782</v>
      </c>
      <c r="V92" s="15"/>
      <c r="W92" s="15"/>
      <c r="X92" s="15"/>
      <c r="Y92" s="15"/>
      <c r="Z92" s="15" t="s">
        <v>150</v>
      </c>
      <c r="AA92" s="20" t="s">
        <v>93</v>
      </c>
      <c r="AB92" s="21" t="s">
        <v>94</v>
      </c>
      <c r="AC92" s="21" t="s">
        <v>94</v>
      </c>
      <c r="AD92" s="21" t="s">
        <v>94</v>
      </c>
      <c r="AE92" s="21" t="s">
        <v>94</v>
      </c>
      <c r="AF92" s="21" t="s">
        <v>94</v>
      </c>
      <c r="AG92" s="20" t="s">
        <v>93</v>
      </c>
      <c r="AH92" s="20" t="s">
        <v>93</v>
      </c>
      <c r="AI92" s="21" t="s">
        <v>94</v>
      </c>
    </row>
    <row r="93" customFormat="false" ht="57.75" hidden="false" customHeight="true" outlineLevel="0" collapsed="false">
      <c r="A93" s="22" t="n">
        <v>92</v>
      </c>
      <c r="B93" s="23" t="s">
        <v>76</v>
      </c>
      <c r="C93" s="22" t="s">
        <v>77</v>
      </c>
      <c r="D93" s="22" t="s">
        <v>78</v>
      </c>
      <c r="E93" s="24" t="s">
        <v>783</v>
      </c>
      <c r="F93" s="22" t="s">
        <v>569</v>
      </c>
      <c r="G93" s="22" t="s">
        <v>505</v>
      </c>
      <c r="H93" s="22" t="s">
        <v>779</v>
      </c>
      <c r="I93" s="22" t="s">
        <v>784</v>
      </c>
      <c r="J93" s="22"/>
      <c r="K93" s="25"/>
      <c r="L93" s="25"/>
      <c r="M93" s="22" t="s">
        <v>94</v>
      </c>
      <c r="N93" s="19" t="s">
        <v>54</v>
      </c>
      <c r="O93" s="22"/>
      <c r="P93" s="19" t="s">
        <v>101</v>
      </c>
      <c r="Q93" s="19" t="s">
        <v>785</v>
      </c>
      <c r="R93" s="22"/>
      <c r="S93" s="19" t="s">
        <v>89</v>
      </c>
      <c r="T93" s="22"/>
      <c r="U93" s="19" t="s">
        <v>786</v>
      </c>
      <c r="V93" s="22"/>
      <c r="W93" s="22" t="s">
        <v>787</v>
      </c>
      <c r="X93" s="22"/>
      <c r="Y93" s="22"/>
      <c r="Z93" s="22" t="s">
        <v>567</v>
      </c>
      <c r="AA93" s="20" t="s">
        <v>93</v>
      </c>
      <c r="AB93" s="21" t="s">
        <v>94</v>
      </c>
      <c r="AC93" s="20" t="s">
        <v>93</v>
      </c>
      <c r="AD93" s="20" t="s">
        <v>93</v>
      </c>
      <c r="AE93" s="21" t="s">
        <v>94</v>
      </c>
      <c r="AF93" s="20" t="s">
        <v>93</v>
      </c>
      <c r="AG93" s="21" t="s">
        <v>94</v>
      </c>
      <c r="AH93" s="20" t="s">
        <v>93</v>
      </c>
      <c r="AI93" s="21" t="s">
        <v>94</v>
      </c>
    </row>
    <row r="94" customFormat="false" ht="57.75" hidden="false" customHeight="true" outlineLevel="0" collapsed="false">
      <c r="A94" s="15" t="n">
        <v>93</v>
      </c>
      <c r="B94" s="16" t="s">
        <v>76</v>
      </c>
      <c r="C94" s="15" t="s">
        <v>77</v>
      </c>
      <c r="D94" s="15" t="s">
        <v>78</v>
      </c>
      <c r="E94" s="17" t="s">
        <v>788</v>
      </c>
      <c r="F94" s="15" t="s">
        <v>560</v>
      </c>
      <c r="G94" s="15" t="s">
        <v>789</v>
      </c>
      <c r="H94" s="15" t="s">
        <v>790</v>
      </c>
      <c r="I94" s="15" t="s">
        <v>598</v>
      </c>
      <c r="J94" s="15" t="s">
        <v>791</v>
      </c>
      <c r="K94" s="18" t="n">
        <v>1323</v>
      </c>
      <c r="L94" s="18" t="n">
        <v>1323</v>
      </c>
      <c r="M94" s="15" t="s">
        <v>94</v>
      </c>
      <c r="N94" s="19" t="s">
        <v>54</v>
      </c>
      <c r="O94" s="15"/>
      <c r="P94" s="15"/>
      <c r="Q94" s="15"/>
      <c r="R94" s="15"/>
      <c r="S94" s="15"/>
      <c r="T94" s="15"/>
      <c r="U94" s="19" t="s">
        <v>782</v>
      </c>
      <c r="V94" s="15"/>
      <c r="W94" s="15" t="s">
        <v>534</v>
      </c>
      <c r="X94" s="15"/>
      <c r="Y94" s="15"/>
      <c r="Z94" s="15" t="s">
        <v>552</v>
      </c>
      <c r="AA94" s="20" t="s">
        <v>93</v>
      </c>
      <c r="AB94" s="21" t="s">
        <v>94</v>
      </c>
      <c r="AC94" s="21" t="s">
        <v>94</v>
      </c>
      <c r="AD94" s="21" t="s">
        <v>94</v>
      </c>
      <c r="AE94" s="21" t="s">
        <v>94</v>
      </c>
      <c r="AF94" s="21" t="s">
        <v>94</v>
      </c>
      <c r="AG94" s="21" t="s">
        <v>94</v>
      </c>
      <c r="AH94" s="20" t="s">
        <v>93</v>
      </c>
      <c r="AI94" s="21" t="s">
        <v>94</v>
      </c>
    </row>
    <row r="95" customFormat="false" ht="57.75" hidden="false" customHeight="true" outlineLevel="0" collapsed="false">
      <c r="A95" s="22" t="n">
        <v>94</v>
      </c>
      <c r="B95" s="23" t="s">
        <v>76</v>
      </c>
      <c r="C95" s="22" t="s">
        <v>77</v>
      </c>
      <c r="D95" s="22" t="s">
        <v>78</v>
      </c>
      <c r="E95" s="24" t="s">
        <v>792</v>
      </c>
      <c r="F95" s="22" t="s">
        <v>793</v>
      </c>
      <c r="G95" s="22" t="s">
        <v>794</v>
      </c>
      <c r="H95" s="22" t="s">
        <v>520</v>
      </c>
      <c r="I95" s="22" t="s">
        <v>795</v>
      </c>
      <c r="J95" s="22"/>
      <c r="K95" s="25"/>
      <c r="L95" s="25"/>
      <c r="M95" s="22" t="s">
        <v>85</v>
      </c>
      <c r="N95" s="19" t="s">
        <v>54</v>
      </c>
      <c r="O95" s="22"/>
      <c r="P95" s="22"/>
      <c r="Q95" s="22"/>
      <c r="R95" s="22"/>
      <c r="S95" s="19" t="s">
        <v>796</v>
      </c>
      <c r="T95" s="22"/>
      <c r="U95" s="19" t="s">
        <v>797</v>
      </c>
      <c r="V95" s="22"/>
      <c r="W95" s="22" t="s">
        <v>798</v>
      </c>
      <c r="X95" s="22"/>
      <c r="Y95" s="22" t="s">
        <v>799</v>
      </c>
      <c r="Z95" s="22" t="s">
        <v>800</v>
      </c>
      <c r="AA95" s="20" t="s">
        <v>93</v>
      </c>
      <c r="AB95" s="21" t="s">
        <v>94</v>
      </c>
      <c r="AC95" s="21" t="s">
        <v>94</v>
      </c>
      <c r="AD95" s="21" t="s">
        <v>94</v>
      </c>
      <c r="AE95" s="21" t="s">
        <v>94</v>
      </c>
      <c r="AF95" s="20" t="s">
        <v>93</v>
      </c>
      <c r="AG95" s="21" t="s">
        <v>94</v>
      </c>
      <c r="AH95" s="20" t="s">
        <v>93</v>
      </c>
      <c r="AI95" s="21" t="s">
        <v>94</v>
      </c>
    </row>
    <row r="96" customFormat="false" ht="57.75" hidden="false" customHeight="true" outlineLevel="0" collapsed="false">
      <c r="A96" s="15" t="n">
        <v>95</v>
      </c>
      <c r="B96" s="16" t="s">
        <v>76</v>
      </c>
      <c r="C96" s="15" t="s">
        <v>77</v>
      </c>
      <c r="D96" s="15" t="s">
        <v>78</v>
      </c>
      <c r="E96" s="17" t="s">
        <v>801</v>
      </c>
      <c r="F96" s="15" t="s">
        <v>244</v>
      </c>
      <c r="G96" s="15" t="s">
        <v>802</v>
      </c>
      <c r="H96" s="15" t="s">
        <v>227</v>
      </c>
      <c r="I96" s="15" t="s">
        <v>803</v>
      </c>
      <c r="J96" s="15"/>
      <c r="K96" s="18"/>
      <c r="L96" s="18"/>
      <c r="M96" s="15" t="s">
        <v>94</v>
      </c>
      <c r="N96" s="15"/>
      <c r="O96" s="15"/>
      <c r="P96" s="15"/>
      <c r="Q96" s="15"/>
      <c r="R96" s="15"/>
      <c r="S96" s="15"/>
      <c r="T96" s="19" t="s">
        <v>633</v>
      </c>
      <c r="U96" s="15"/>
      <c r="V96" s="15"/>
      <c r="W96" s="15" t="s">
        <v>804</v>
      </c>
      <c r="X96" s="15"/>
      <c r="Y96" s="15" t="s">
        <v>799</v>
      </c>
      <c r="Z96" s="15" t="s">
        <v>805</v>
      </c>
      <c r="AA96" s="21" t="s">
        <v>94</v>
      </c>
      <c r="AB96" s="21" t="s">
        <v>94</v>
      </c>
      <c r="AC96" s="21" t="s">
        <v>94</v>
      </c>
      <c r="AD96" s="21" t="s">
        <v>94</v>
      </c>
      <c r="AE96" s="21" t="s">
        <v>94</v>
      </c>
      <c r="AF96" s="21" t="s">
        <v>94</v>
      </c>
      <c r="AG96" s="20" t="s">
        <v>93</v>
      </c>
      <c r="AH96" s="21" t="s">
        <v>94</v>
      </c>
      <c r="AI96" s="21" t="s">
        <v>94</v>
      </c>
    </row>
    <row r="97" customFormat="false" ht="57.75" hidden="false" customHeight="true" outlineLevel="0" collapsed="false">
      <c r="A97" s="22" t="n">
        <v>96</v>
      </c>
      <c r="B97" s="23" t="s">
        <v>76</v>
      </c>
      <c r="C97" s="22" t="s">
        <v>77</v>
      </c>
      <c r="D97" s="22" t="s">
        <v>78</v>
      </c>
      <c r="E97" s="24" t="s">
        <v>806</v>
      </c>
      <c r="F97" s="22" t="s">
        <v>807</v>
      </c>
      <c r="G97" s="22" t="s">
        <v>292</v>
      </c>
      <c r="H97" s="22" t="s">
        <v>808</v>
      </c>
      <c r="I97" s="22" t="s">
        <v>809</v>
      </c>
      <c r="J97" s="22"/>
      <c r="K97" s="25"/>
      <c r="L97" s="25"/>
      <c r="M97" s="22" t="s">
        <v>94</v>
      </c>
      <c r="N97" s="22"/>
      <c r="O97" s="22"/>
      <c r="P97" s="22"/>
      <c r="Q97" s="22"/>
      <c r="R97" s="22"/>
      <c r="S97" s="19" t="s">
        <v>89</v>
      </c>
      <c r="T97" s="22"/>
      <c r="U97" s="19" t="s">
        <v>810</v>
      </c>
      <c r="V97" s="19" t="s">
        <v>811</v>
      </c>
      <c r="W97" s="22" t="s">
        <v>812</v>
      </c>
      <c r="X97" s="22" t="s">
        <v>813</v>
      </c>
      <c r="Y97" s="22"/>
      <c r="Z97" s="22"/>
      <c r="AA97" s="21" t="s">
        <v>94</v>
      </c>
      <c r="AB97" s="21" t="s">
        <v>94</v>
      </c>
      <c r="AC97" s="21" t="s">
        <v>94</v>
      </c>
      <c r="AD97" s="21" t="s">
        <v>94</v>
      </c>
      <c r="AE97" s="21" t="s">
        <v>94</v>
      </c>
      <c r="AF97" s="20" t="s">
        <v>93</v>
      </c>
      <c r="AG97" s="21" t="s">
        <v>94</v>
      </c>
      <c r="AH97" s="20" t="s">
        <v>93</v>
      </c>
      <c r="AI97" s="20" t="s">
        <v>93</v>
      </c>
    </row>
    <row r="98" customFormat="false" ht="57.75" hidden="false" customHeight="true" outlineLevel="0" collapsed="false">
      <c r="A98" s="15" t="n">
        <v>97</v>
      </c>
      <c r="B98" s="16" t="s">
        <v>76</v>
      </c>
      <c r="C98" s="15" t="s">
        <v>77</v>
      </c>
      <c r="D98" s="15" t="s">
        <v>78</v>
      </c>
      <c r="E98" s="17" t="s">
        <v>814</v>
      </c>
      <c r="F98" s="15" t="s">
        <v>815</v>
      </c>
      <c r="G98" s="15" t="s">
        <v>816</v>
      </c>
      <c r="H98" s="15" t="s">
        <v>817</v>
      </c>
      <c r="I98" s="15" t="s">
        <v>818</v>
      </c>
      <c r="J98" s="15"/>
      <c r="K98" s="18"/>
      <c r="L98" s="18"/>
      <c r="M98" s="15" t="s">
        <v>85</v>
      </c>
      <c r="N98" s="19" t="s">
        <v>54</v>
      </c>
      <c r="O98" s="15"/>
      <c r="P98" s="15"/>
      <c r="Q98" s="15"/>
      <c r="R98" s="15"/>
      <c r="S98" s="15"/>
      <c r="T98" s="15"/>
      <c r="U98" s="15"/>
      <c r="V98" s="15"/>
      <c r="W98" s="15" t="s">
        <v>180</v>
      </c>
      <c r="X98" s="15"/>
      <c r="Y98" s="15" t="s">
        <v>819</v>
      </c>
      <c r="Z98" s="15" t="s">
        <v>314</v>
      </c>
      <c r="AA98" s="20" t="s">
        <v>93</v>
      </c>
      <c r="AB98" s="21" t="s">
        <v>94</v>
      </c>
      <c r="AC98" s="21" t="s">
        <v>94</v>
      </c>
      <c r="AD98" s="21" t="s">
        <v>94</v>
      </c>
      <c r="AE98" s="21" t="s">
        <v>94</v>
      </c>
      <c r="AF98" s="21" t="s">
        <v>94</v>
      </c>
      <c r="AG98" s="21" t="s">
        <v>94</v>
      </c>
      <c r="AH98" s="21" t="s">
        <v>94</v>
      </c>
      <c r="AI98" s="21" t="s">
        <v>94</v>
      </c>
    </row>
    <row r="99" customFormat="false" ht="57.75" hidden="false" customHeight="true" outlineLevel="0" collapsed="false">
      <c r="A99" s="22" t="n">
        <v>98</v>
      </c>
      <c r="B99" s="23" t="s">
        <v>76</v>
      </c>
      <c r="C99" s="22" t="s">
        <v>77</v>
      </c>
      <c r="D99" s="22" t="s">
        <v>78</v>
      </c>
      <c r="E99" s="24" t="s">
        <v>820</v>
      </c>
      <c r="F99" s="22" t="s">
        <v>80</v>
      </c>
      <c r="G99" s="22" t="s">
        <v>821</v>
      </c>
      <c r="H99" s="22" t="s">
        <v>227</v>
      </c>
      <c r="I99" s="22" t="s">
        <v>822</v>
      </c>
      <c r="J99" s="22" t="s">
        <v>823</v>
      </c>
      <c r="K99" s="25" t="n">
        <v>2385</v>
      </c>
      <c r="L99" s="25" t="n">
        <v>3480</v>
      </c>
      <c r="M99" s="22" t="s">
        <v>94</v>
      </c>
      <c r="N99" s="22"/>
      <c r="O99" s="22"/>
      <c r="P99" s="22"/>
      <c r="Q99" s="22"/>
      <c r="R99" s="22"/>
      <c r="S99" s="22"/>
      <c r="T99" s="22"/>
      <c r="U99" s="22"/>
      <c r="V99" s="22"/>
      <c r="W99" s="22" t="s">
        <v>824</v>
      </c>
      <c r="X99" s="22"/>
      <c r="Y99" s="22" t="s">
        <v>825</v>
      </c>
      <c r="Z99" s="22" t="s">
        <v>477</v>
      </c>
      <c r="AA99" s="21" t="s">
        <v>94</v>
      </c>
      <c r="AB99" s="21" t="s">
        <v>94</v>
      </c>
      <c r="AC99" s="21" t="s">
        <v>94</v>
      </c>
      <c r="AD99" s="21" t="s">
        <v>94</v>
      </c>
      <c r="AE99" s="21" t="s">
        <v>94</v>
      </c>
      <c r="AF99" s="21" t="s">
        <v>94</v>
      </c>
      <c r="AG99" s="21" t="s">
        <v>94</v>
      </c>
      <c r="AH99" s="21" t="s">
        <v>94</v>
      </c>
      <c r="AI99" s="21" t="s">
        <v>94</v>
      </c>
    </row>
    <row r="100" customFormat="false" ht="57.75" hidden="false" customHeight="true" outlineLevel="0" collapsed="false">
      <c r="A100" s="15" t="n">
        <v>99</v>
      </c>
      <c r="B100" s="16" t="s">
        <v>76</v>
      </c>
      <c r="C100" s="15" t="s">
        <v>77</v>
      </c>
      <c r="D100" s="15" t="s">
        <v>78</v>
      </c>
      <c r="E100" s="17" t="s">
        <v>826</v>
      </c>
      <c r="F100" s="15"/>
      <c r="G100" s="15" t="s">
        <v>827</v>
      </c>
      <c r="H100" s="15" t="s">
        <v>828</v>
      </c>
      <c r="I100" s="15" t="s">
        <v>829</v>
      </c>
      <c r="J100" s="15"/>
      <c r="K100" s="18"/>
      <c r="L100" s="18"/>
      <c r="M100" s="15" t="s">
        <v>94</v>
      </c>
      <c r="N100" s="15"/>
      <c r="O100" s="15"/>
      <c r="P100" s="15"/>
      <c r="Q100" s="15"/>
      <c r="R100" s="15"/>
      <c r="S100" s="15"/>
      <c r="T100" s="15"/>
      <c r="U100" s="15"/>
      <c r="V100" s="15"/>
      <c r="W100" s="15"/>
      <c r="X100" s="15" t="s">
        <v>830</v>
      </c>
      <c r="Y100" s="15"/>
      <c r="Z100" s="15"/>
      <c r="AA100" s="21" t="s">
        <v>94</v>
      </c>
      <c r="AB100" s="21" t="s">
        <v>94</v>
      </c>
      <c r="AC100" s="21" t="s">
        <v>94</v>
      </c>
      <c r="AD100" s="21" t="s">
        <v>94</v>
      </c>
      <c r="AE100" s="21" t="s">
        <v>94</v>
      </c>
      <c r="AF100" s="21" t="s">
        <v>94</v>
      </c>
      <c r="AG100" s="21" t="s">
        <v>94</v>
      </c>
      <c r="AH100" s="21" t="s">
        <v>94</v>
      </c>
      <c r="AI100" s="21" t="s">
        <v>94</v>
      </c>
    </row>
    <row r="101" customFormat="false" ht="57.75" hidden="false" customHeight="true" outlineLevel="0" collapsed="false">
      <c r="A101" s="22" t="n">
        <v>100</v>
      </c>
      <c r="B101" s="23" t="s">
        <v>76</v>
      </c>
      <c r="C101" s="22" t="s">
        <v>77</v>
      </c>
      <c r="D101" s="22" t="s">
        <v>78</v>
      </c>
      <c r="E101" s="24" t="s">
        <v>831</v>
      </c>
      <c r="F101" s="22" t="s">
        <v>832</v>
      </c>
      <c r="G101" s="22" t="s">
        <v>833</v>
      </c>
      <c r="H101" s="22" t="s">
        <v>227</v>
      </c>
      <c r="I101" s="22" t="s">
        <v>834</v>
      </c>
      <c r="J101" s="22"/>
      <c r="K101" s="25"/>
      <c r="L101" s="25"/>
      <c r="M101" s="22" t="s">
        <v>94</v>
      </c>
      <c r="N101" s="22"/>
      <c r="O101" s="22"/>
      <c r="P101" s="22"/>
      <c r="Q101" s="22"/>
      <c r="R101" s="22"/>
      <c r="S101" s="22"/>
      <c r="T101" s="22"/>
      <c r="U101" s="22"/>
      <c r="V101" s="22"/>
      <c r="W101" s="22" t="s">
        <v>180</v>
      </c>
      <c r="X101" s="22"/>
      <c r="Y101" s="22"/>
      <c r="Z101" s="22" t="s">
        <v>169</v>
      </c>
      <c r="AA101" s="21" t="s">
        <v>94</v>
      </c>
      <c r="AB101" s="21" t="s">
        <v>94</v>
      </c>
      <c r="AC101" s="21" t="s">
        <v>94</v>
      </c>
      <c r="AD101" s="21" t="s">
        <v>94</v>
      </c>
      <c r="AE101" s="21" t="s">
        <v>94</v>
      </c>
      <c r="AF101" s="21" t="s">
        <v>94</v>
      </c>
      <c r="AG101" s="21" t="s">
        <v>94</v>
      </c>
      <c r="AH101" s="21" t="s">
        <v>94</v>
      </c>
      <c r="AI101" s="21" t="s">
        <v>94</v>
      </c>
    </row>
    <row r="102" customFormat="false" ht="57.75" hidden="false" customHeight="true" outlineLevel="0" collapsed="false">
      <c r="A102" s="15" t="n">
        <v>101</v>
      </c>
      <c r="B102" s="16" t="s">
        <v>76</v>
      </c>
      <c r="C102" s="15" t="s">
        <v>77</v>
      </c>
      <c r="D102" s="15" t="s">
        <v>78</v>
      </c>
      <c r="E102" s="17" t="s">
        <v>835</v>
      </c>
      <c r="F102" s="15" t="s">
        <v>836</v>
      </c>
      <c r="G102" s="15" t="s">
        <v>837</v>
      </c>
      <c r="H102" s="15" t="s">
        <v>227</v>
      </c>
      <c r="I102" s="15" t="s">
        <v>838</v>
      </c>
      <c r="J102" s="15"/>
      <c r="K102" s="18"/>
      <c r="L102" s="18"/>
      <c r="M102" s="15" t="s">
        <v>94</v>
      </c>
      <c r="N102" s="15"/>
      <c r="O102" s="26" t="s">
        <v>839</v>
      </c>
      <c r="P102" s="26" t="s">
        <v>839</v>
      </c>
      <c r="Q102" s="26" t="s">
        <v>839</v>
      </c>
      <c r="R102" s="15"/>
      <c r="S102" s="15"/>
      <c r="T102" s="26" t="s">
        <v>839</v>
      </c>
      <c r="U102" s="15"/>
      <c r="V102" s="26" t="s">
        <v>839</v>
      </c>
      <c r="W102" s="15" t="s">
        <v>840</v>
      </c>
      <c r="X102" s="15"/>
      <c r="Y102" s="15"/>
      <c r="Z102" s="15" t="s">
        <v>477</v>
      </c>
      <c r="AA102" s="21" t="s">
        <v>94</v>
      </c>
      <c r="AB102" s="27" t="s">
        <v>213</v>
      </c>
      <c r="AC102" s="27" t="s">
        <v>213</v>
      </c>
      <c r="AD102" s="27" t="s">
        <v>213</v>
      </c>
      <c r="AE102" s="21" t="s">
        <v>94</v>
      </c>
      <c r="AF102" s="21" t="s">
        <v>94</v>
      </c>
      <c r="AG102" s="27" t="s">
        <v>213</v>
      </c>
      <c r="AH102" s="21" t="s">
        <v>94</v>
      </c>
      <c r="AI102" s="27" t="s">
        <v>213</v>
      </c>
    </row>
    <row r="103" customFormat="false" ht="57.75" hidden="false" customHeight="true" outlineLevel="0" collapsed="false">
      <c r="A103" s="22" t="n">
        <v>102</v>
      </c>
      <c r="B103" s="23" t="s">
        <v>76</v>
      </c>
      <c r="C103" s="22" t="s">
        <v>77</v>
      </c>
      <c r="D103" s="22" t="s">
        <v>78</v>
      </c>
      <c r="E103" s="24" t="s">
        <v>841</v>
      </c>
      <c r="F103" s="22" t="s">
        <v>842</v>
      </c>
      <c r="G103" s="22" t="s">
        <v>843</v>
      </c>
      <c r="H103" s="22" t="s">
        <v>227</v>
      </c>
      <c r="I103" s="22" t="s">
        <v>844</v>
      </c>
      <c r="J103" s="22" t="s">
        <v>845</v>
      </c>
      <c r="K103" s="25" t="n">
        <v>1200</v>
      </c>
      <c r="L103" s="25" t="n">
        <v>1800</v>
      </c>
      <c r="M103" s="22" t="s">
        <v>94</v>
      </c>
      <c r="N103" s="22"/>
      <c r="O103" s="22"/>
      <c r="P103" s="22"/>
      <c r="Q103" s="22"/>
      <c r="R103" s="22"/>
      <c r="S103" s="22"/>
      <c r="T103" s="22"/>
      <c r="U103" s="19" t="s">
        <v>846</v>
      </c>
      <c r="V103" s="22"/>
      <c r="W103" s="22" t="s">
        <v>847</v>
      </c>
      <c r="X103" s="22"/>
      <c r="Y103" s="22"/>
      <c r="Z103" s="22" t="s">
        <v>848</v>
      </c>
      <c r="AA103" s="21" t="s">
        <v>94</v>
      </c>
      <c r="AB103" s="21" t="s">
        <v>94</v>
      </c>
      <c r="AC103" s="21" t="s">
        <v>94</v>
      </c>
      <c r="AD103" s="21" t="s">
        <v>94</v>
      </c>
      <c r="AE103" s="21" t="s">
        <v>94</v>
      </c>
      <c r="AF103" s="21" t="s">
        <v>94</v>
      </c>
      <c r="AG103" s="21" t="s">
        <v>94</v>
      </c>
      <c r="AH103" s="20" t="s">
        <v>93</v>
      </c>
      <c r="AI103" s="21" t="s">
        <v>94</v>
      </c>
    </row>
    <row r="104" customFormat="false" ht="57.75" hidden="false" customHeight="true" outlineLevel="0" collapsed="false">
      <c r="A104" s="15" t="n">
        <v>103</v>
      </c>
      <c r="B104" s="16" t="s">
        <v>76</v>
      </c>
      <c r="C104" s="15" t="s">
        <v>77</v>
      </c>
      <c r="D104" s="15" t="s">
        <v>78</v>
      </c>
      <c r="E104" s="17" t="s">
        <v>849</v>
      </c>
      <c r="F104" s="15" t="s">
        <v>850</v>
      </c>
      <c r="G104" s="15" t="s">
        <v>843</v>
      </c>
      <c r="H104" s="15" t="s">
        <v>263</v>
      </c>
      <c r="I104" s="15" t="s">
        <v>851</v>
      </c>
      <c r="J104" s="15" t="s">
        <v>852</v>
      </c>
      <c r="K104" s="18" t="n">
        <v>1037</v>
      </c>
      <c r="L104" s="18" t="n">
        <v>1037</v>
      </c>
      <c r="M104" s="15" t="s">
        <v>94</v>
      </c>
      <c r="N104" s="15"/>
      <c r="O104" s="15"/>
      <c r="P104" s="19" t="s">
        <v>531</v>
      </c>
      <c r="Q104" s="19" t="s">
        <v>853</v>
      </c>
      <c r="R104" s="15"/>
      <c r="S104" s="19" t="s">
        <v>854</v>
      </c>
      <c r="T104" s="15"/>
      <c r="U104" s="19" t="s">
        <v>855</v>
      </c>
      <c r="V104" s="15"/>
      <c r="W104" s="15" t="s">
        <v>856</v>
      </c>
      <c r="X104" s="15"/>
      <c r="Y104" s="15"/>
      <c r="Z104" s="15" t="s">
        <v>857</v>
      </c>
      <c r="AA104" s="21" t="s">
        <v>94</v>
      </c>
      <c r="AB104" s="21" t="s">
        <v>94</v>
      </c>
      <c r="AC104" s="20" t="s">
        <v>93</v>
      </c>
      <c r="AD104" s="20" t="s">
        <v>93</v>
      </c>
      <c r="AE104" s="21" t="s">
        <v>94</v>
      </c>
      <c r="AF104" s="20" t="s">
        <v>93</v>
      </c>
      <c r="AG104" s="21" t="s">
        <v>94</v>
      </c>
      <c r="AH104" s="20" t="s">
        <v>93</v>
      </c>
      <c r="AI104" s="21" t="s">
        <v>94</v>
      </c>
    </row>
    <row r="105" customFormat="false" ht="57.75" hidden="false" customHeight="true" outlineLevel="0" collapsed="false">
      <c r="A105" s="22" t="n">
        <v>104</v>
      </c>
      <c r="B105" s="23" t="s">
        <v>76</v>
      </c>
      <c r="C105" s="22" t="s">
        <v>77</v>
      </c>
      <c r="D105" s="22" t="s">
        <v>78</v>
      </c>
      <c r="E105" s="24" t="s">
        <v>858</v>
      </c>
      <c r="F105" s="22" t="s">
        <v>859</v>
      </c>
      <c r="G105" s="22" t="s">
        <v>860</v>
      </c>
      <c r="H105" s="22" t="s">
        <v>227</v>
      </c>
      <c r="I105" s="22" t="s">
        <v>407</v>
      </c>
      <c r="J105" s="22"/>
      <c r="K105" s="25"/>
      <c r="L105" s="25"/>
      <c r="M105" s="22" t="s">
        <v>94</v>
      </c>
      <c r="N105" s="22"/>
      <c r="O105" s="22"/>
      <c r="P105" s="22"/>
      <c r="Q105" s="19" t="s">
        <v>134</v>
      </c>
      <c r="R105" s="22"/>
      <c r="S105" s="19" t="s">
        <v>89</v>
      </c>
      <c r="T105" s="22"/>
      <c r="U105" s="19" t="s">
        <v>861</v>
      </c>
      <c r="V105" s="22"/>
      <c r="W105" s="22" t="s">
        <v>180</v>
      </c>
      <c r="X105" s="22"/>
      <c r="Y105" s="22"/>
      <c r="Z105" s="22" t="s">
        <v>169</v>
      </c>
      <c r="AA105" s="21" t="s">
        <v>94</v>
      </c>
      <c r="AB105" s="21" t="s">
        <v>94</v>
      </c>
      <c r="AC105" s="21" t="s">
        <v>94</v>
      </c>
      <c r="AD105" s="20" t="s">
        <v>93</v>
      </c>
      <c r="AE105" s="21" t="s">
        <v>94</v>
      </c>
      <c r="AF105" s="20" t="s">
        <v>93</v>
      </c>
      <c r="AG105" s="21" t="s">
        <v>94</v>
      </c>
      <c r="AH105" s="20" t="s">
        <v>93</v>
      </c>
      <c r="AI105" s="21" t="s">
        <v>94</v>
      </c>
    </row>
    <row r="106" customFormat="false" ht="57.75" hidden="false" customHeight="true" outlineLevel="0" collapsed="false">
      <c r="A106" s="15" t="n">
        <v>105</v>
      </c>
      <c r="B106" s="16" t="s">
        <v>76</v>
      </c>
      <c r="C106" s="15" t="s">
        <v>77</v>
      </c>
      <c r="D106" s="15" t="s">
        <v>78</v>
      </c>
      <c r="E106" s="17" t="s">
        <v>862</v>
      </c>
      <c r="F106" s="15" t="s">
        <v>863</v>
      </c>
      <c r="G106" s="15" t="s">
        <v>864</v>
      </c>
      <c r="H106" s="15" t="s">
        <v>263</v>
      </c>
      <c r="I106" s="15" t="s">
        <v>865</v>
      </c>
      <c r="J106" s="15" t="s">
        <v>866</v>
      </c>
      <c r="K106" s="18" t="n">
        <v>1440</v>
      </c>
      <c r="L106" s="18" t="n">
        <v>2115</v>
      </c>
      <c r="M106" s="15" t="s">
        <v>94</v>
      </c>
      <c r="N106" s="15"/>
      <c r="O106" s="15"/>
      <c r="P106" s="15"/>
      <c r="Q106" s="15"/>
      <c r="R106" s="15"/>
      <c r="S106" s="19" t="s">
        <v>200</v>
      </c>
      <c r="T106" s="19" t="s">
        <v>633</v>
      </c>
      <c r="U106" s="19" t="s">
        <v>867</v>
      </c>
      <c r="V106" s="15"/>
      <c r="W106" s="15" t="s">
        <v>868</v>
      </c>
      <c r="X106" s="15"/>
      <c r="Y106" s="15"/>
      <c r="Z106" s="15" t="s">
        <v>869</v>
      </c>
      <c r="AA106" s="21" t="s">
        <v>94</v>
      </c>
      <c r="AB106" s="21" t="s">
        <v>94</v>
      </c>
      <c r="AC106" s="21" t="s">
        <v>94</v>
      </c>
      <c r="AD106" s="21" t="s">
        <v>94</v>
      </c>
      <c r="AE106" s="21" t="s">
        <v>94</v>
      </c>
      <c r="AF106" s="20" t="s">
        <v>93</v>
      </c>
      <c r="AG106" s="20" t="s">
        <v>93</v>
      </c>
      <c r="AH106" s="20" t="s">
        <v>93</v>
      </c>
      <c r="AI106" s="21" t="s">
        <v>94</v>
      </c>
    </row>
    <row r="107" customFormat="false" ht="57.75" hidden="false" customHeight="true" outlineLevel="0" collapsed="false">
      <c r="A107" s="22" t="n">
        <v>106</v>
      </c>
      <c r="B107" s="23" t="s">
        <v>76</v>
      </c>
      <c r="C107" s="22" t="s">
        <v>77</v>
      </c>
      <c r="D107" s="22" t="s">
        <v>78</v>
      </c>
      <c r="E107" s="24" t="s">
        <v>870</v>
      </c>
      <c r="F107" s="22" t="s">
        <v>871</v>
      </c>
      <c r="G107" s="22" t="s">
        <v>872</v>
      </c>
      <c r="H107" s="22" t="s">
        <v>263</v>
      </c>
      <c r="I107" s="22" t="s">
        <v>873</v>
      </c>
      <c r="J107" s="22"/>
      <c r="K107" s="25"/>
      <c r="L107" s="25"/>
      <c r="M107" s="22" t="s">
        <v>94</v>
      </c>
      <c r="N107" s="22"/>
      <c r="O107" s="22"/>
      <c r="P107" s="22"/>
      <c r="Q107" s="22"/>
      <c r="R107" s="22"/>
      <c r="S107" s="22"/>
      <c r="T107" s="22"/>
      <c r="U107" s="22"/>
      <c r="V107" s="22"/>
      <c r="W107" s="22" t="s">
        <v>874</v>
      </c>
      <c r="X107" s="22"/>
      <c r="Y107" s="22"/>
      <c r="Z107" s="22" t="s">
        <v>669</v>
      </c>
      <c r="AA107" s="21" t="s">
        <v>94</v>
      </c>
      <c r="AB107" s="21" t="s">
        <v>94</v>
      </c>
      <c r="AC107" s="21" t="s">
        <v>94</v>
      </c>
      <c r="AD107" s="21" t="s">
        <v>94</v>
      </c>
      <c r="AE107" s="21" t="s">
        <v>94</v>
      </c>
      <c r="AF107" s="21" t="s">
        <v>94</v>
      </c>
      <c r="AG107" s="21" t="s">
        <v>94</v>
      </c>
      <c r="AH107" s="21" t="s">
        <v>94</v>
      </c>
      <c r="AI107" s="21" t="s">
        <v>94</v>
      </c>
    </row>
    <row r="108" customFormat="false" ht="57.75" hidden="false" customHeight="true" outlineLevel="0" collapsed="false">
      <c r="A108" s="15" t="n">
        <v>107</v>
      </c>
      <c r="B108" s="16" t="s">
        <v>76</v>
      </c>
      <c r="C108" s="15" t="s">
        <v>77</v>
      </c>
      <c r="D108" s="15" t="s">
        <v>78</v>
      </c>
      <c r="E108" s="17" t="s">
        <v>875</v>
      </c>
      <c r="F108" s="15" t="s">
        <v>876</v>
      </c>
      <c r="G108" s="15" t="s">
        <v>877</v>
      </c>
      <c r="H108" s="15" t="s">
        <v>227</v>
      </c>
      <c r="I108" s="15" t="s">
        <v>878</v>
      </c>
      <c r="J108" s="15"/>
      <c r="K108" s="18"/>
      <c r="L108" s="18"/>
      <c r="M108" s="15" t="s">
        <v>94</v>
      </c>
      <c r="N108" s="15"/>
      <c r="O108" s="15"/>
      <c r="P108" s="15"/>
      <c r="Q108" s="15"/>
      <c r="R108" s="15"/>
      <c r="S108" s="15"/>
      <c r="T108" s="15"/>
      <c r="U108" s="15"/>
      <c r="V108" s="15"/>
      <c r="W108" s="15" t="s">
        <v>874</v>
      </c>
      <c r="X108" s="15"/>
      <c r="Y108" s="15" t="s">
        <v>879</v>
      </c>
      <c r="Z108" s="15" t="s">
        <v>321</v>
      </c>
      <c r="AA108" s="21" t="s">
        <v>94</v>
      </c>
      <c r="AB108" s="21" t="s">
        <v>94</v>
      </c>
      <c r="AC108" s="21" t="s">
        <v>94</v>
      </c>
      <c r="AD108" s="21" t="s">
        <v>94</v>
      </c>
      <c r="AE108" s="21" t="s">
        <v>94</v>
      </c>
      <c r="AF108" s="21" t="s">
        <v>94</v>
      </c>
      <c r="AG108" s="21" t="s">
        <v>94</v>
      </c>
      <c r="AH108" s="21" t="s">
        <v>94</v>
      </c>
      <c r="AI108" s="21" t="s">
        <v>94</v>
      </c>
    </row>
    <row r="109" customFormat="false" ht="57.75" hidden="false" customHeight="true" outlineLevel="0" collapsed="false">
      <c r="A109" s="22" t="n">
        <v>108</v>
      </c>
      <c r="B109" s="23" t="s">
        <v>76</v>
      </c>
      <c r="C109" s="22" t="s">
        <v>77</v>
      </c>
      <c r="D109" s="22" t="s">
        <v>78</v>
      </c>
      <c r="E109" s="24" t="s">
        <v>880</v>
      </c>
      <c r="F109" s="22" t="s">
        <v>881</v>
      </c>
      <c r="G109" s="22" t="s">
        <v>882</v>
      </c>
      <c r="H109" s="22" t="s">
        <v>520</v>
      </c>
      <c r="I109" s="22" t="s">
        <v>883</v>
      </c>
      <c r="J109" s="22" t="s">
        <v>884</v>
      </c>
      <c r="K109" s="25" t="n">
        <v>4254</v>
      </c>
      <c r="L109" s="25" t="n">
        <v>4754</v>
      </c>
      <c r="M109" s="22" t="s">
        <v>85</v>
      </c>
      <c r="N109" s="22"/>
      <c r="O109" s="22"/>
      <c r="P109" s="19" t="s">
        <v>885</v>
      </c>
      <c r="Q109" s="19" t="s">
        <v>134</v>
      </c>
      <c r="R109" s="22"/>
      <c r="S109" s="19" t="s">
        <v>886</v>
      </c>
      <c r="T109" s="19" t="s">
        <v>633</v>
      </c>
      <c r="U109" s="19" t="s">
        <v>887</v>
      </c>
      <c r="V109" s="22"/>
      <c r="W109" s="22" t="s">
        <v>142</v>
      </c>
      <c r="X109" s="22"/>
      <c r="Y109" s="22" t="s">
        <v>879</v>
      </c>
      <c r="Z109" s="22" t="s">
        <v>169</v>
      </c>
      <c r="AA109" s="21" t="s">
        <v>94</v>
      </c>
      <c r="AB109" s="21" t="s">
        <v>94</v>
      </c>
      <c r="AC109" s="20" t="s">
        <v>93</v>
      </c>
      <c r="AD109" s="20" t="s">
        <v>93</v>
      </c>
      <c r="AE109" s="21" t="s">
        <v>94</v>
      </c>
      <c r="AF109" s="20" t="s">
        <v>93</v>
      </c>
      <c r="AG109" s="20" t="s">
        <v>93</v>
      </c>
      <c r="AH109" s="20" t="s">
        <v>93</v>
      </c>
      <c r="AI109" s="21" t="s">
        <v>94</v>
      </c>
    </row>
    <row r="110" customFormat="false" ht="57.75" hidden="false" customHeight="true" outlineLevel="0" collapsed="false">
      <c r="A110" s="15" t="n">
        <v>109</v>
      </c>
      <c r="B110" s="16" t="s">
        <v>76</v>
      </c>
      <c r="C110" s="15" t="s">
        <v>77</v>
      </c>
      <c r="D110" s="15" t="s">
        <v>78</v>
      </c>
      <c r="E110" s="17" t="s">
        <v>888</v>
      </c>
      <c r="F110" s="15" t="s">
        <v>881</v>
      </c>
      <c r="G110" s="15" t="s">
        <v>889</v>
      </c>
      <c r="H110" s="15" t="s">
        <v>520</v>
      </c>
      <c r="I110" s="15" t="s">
        <v>890</v>
      </c>
      <c r="J110" s="15" t="s">
        <v>891</v>
      </c>
      <c r="K110" s="18" t="n">
        <v>4749</v>
      </c>
      <c r="L110" s="18" t="n">
        <v>5168</v>
      </c>
      <c r="M110" s="15" t="s">
        <v>85</v>
      </c>
      <c r="N110" s="19" t="s">
        <v>54</v>
      </c>
      <c r="O110" s="15"/>
      <c r="P110" s="26" t="s">
        <v>892</v>
      </c>
      <c r="Q110" s="19" t="s">
        <v>893</v>
      </c>
      <c r="R110" s="26" t="s">
        <v>894</v>
      </c>
      <c r="S110" s="19" t="s">
        <v>886</v>
      </c>
      <c r="T110" s="19" t="s">
        <v>633</v>
      </c>
      <c r="U110" s="19" t="s">
        <v>895</v>
      </c>
      <c r="V110" s="15"/>
      <c r="W110" s="15" t="s">
        <v>896</v>
      </c>
      <c r="X110" s="15"/>
      <c r="Y110" s="15"/>
      <c r="Z110" s="15" t="s">
        <v>128</v>
      </c>
      <c r="AA110" s="20" t="s">
        <v>93</v>
      </c>
      <c r="AB110" s="21" t="s">
        <v>94</v>
      </c>
      <c r="AC110" s="27" t="s">
        <v>213</v>
      </c>
      <c r="AD110" s="20" t="s">
        <v>93</v>
      </c>
      <c r="AE110" s="27" t="s">
        <v>213</v>
      </c>
      <c r="AF110" s="20" t="s">
        <v>93</v>
      </c>
      <c r="AG110" s="20" t="s">
        <v>93</v>
      </c>
      <c r="AH110" s="20" t="s">
        <v>93</v>
      </c>
      <c r="AI110" s="21" t="s">
        <v>94</v>
      </c>
    </row>
    <row r="111" customFormat="false" ht="57.75" hidden="false" customHeight="true" outlineLevel="0" collapsed="false">
      <c r="A111" s="22" t="n">
        <v>110</v>
      </c>
      <c r="B111" s="23" t="s">
        <v>76</v>
      </c>
      <c r="C111" s="22" t="s">
        <v>77</v>
      </c>
      <c r="D111" s="22" t="s">
        <v>78</v>
      </c>
      <c r="E111" s="24" t="s">
        <v>897</v>
      </c>
      <c r="F111" s="22" t="s">
        <v>881</v>
      </c>
      <c r="G111" s="22" t="s">
        <v>889</v>
      </c>
      <c r="H111" s="22" t="s">
        <v>520</v>
      </c>
      <c r="I111" s="22" t="s">
        <v>898</v>
      </c>
      <c r="J111" s="22" t="s">
        <v>899</v>
      </c>
      <c r="K111" s="25" t="n">
        <v>2615</v>
      </c>
      <c r="L111" s="25" t="n">
        <v>3272</v>
      </c>
      <c r="M111" s="22" t="s">
        <v>85</v>
      </c>
      <c r="N111" s="19" t="s">
        <v>54</v>
      </c>
      <c r="O111" s="22"/>
      <c r="P111" s="26" t="s">
        <v>892</v>
      </c>
      <c r="Q111" s="19" t="s">
        <v>893</v>
      </c>
      <c r="R111" s="22"/>
      <c r="S111" s="19" t="s">
        <v>886</v>
      </c>
      <c r="T111" s="19" t="s">
        <v>633</v>
      </c>
      <c r="U111" s="19" t="s">
        <v>900</v>
      </c>
      <c r="V111" s="22"/>
      <c r="W111" s="22" t="s">
        <v>534</v>
      </c>
      <c r="X111" s="22"/>
      <c r="Y111" s="22"/>
      <c r="Z111" s="22"/>
      <c r="AA111" s="20" t="s">
        <v>93</v>
      </c>
      <c r="AB111" s="21" t="s">
        <v>94</v>
      </c>
      <c r="AC111" s="27" t="s">
        <v>213</v>
      </c>
      <c r="AD111" s="20" t="s">
        <v>93</v>
      </c>
      <c r="AE111" s="21" t="s">
        <v>94</v>
      </c>
      <c r="AF111" s="20" t="s">
        <v>93</v>
      </c>
      <c r="AG111" s="20" t="s">
        <v>93</v>
      </c>
      <c r="AH111" s="20" t="s">
        <v>93</v>
      </c>
      <c r="AI111" s="21" t="s">
        <v>94</v>
      </c>
    </row>
    <row r="112" customFormat="false" ht="57.75" hidden="false" customHeight="true" outlineLevel="0" collapsed="false">
      <c r="A112" s="15" t="n">
        <v>111</v>
      </c>
      <c r="B112" s="16" t="s">
        <v>76</v>
      </c>
      <c r="C112" s="15" t="s">
        <v>77</v>
      </c>
      <c r="D112" s="15" t="s">
        <v>78</v>
      </c>
      <c r="E112" s="17" t="s">
        <v>901</v>
      </c>
      <c r="F112" s="15" t="s">
        <v>881</v>
      </c>
      <c r="G112" s="15" t="s">
        <v>902</v>
      </c>
      <c r="H112" s="15" t="s">
        <v>520</v>
      </c>
      <c r="I112" s="15" t="s">
        <v>903</v>
      </c>
      <c r="J112" s="15" t="s">
        <v>904</v>
      </c>
      <c r="K112" s="18" t="n">
        <v>5547</v>
      </c>
      <c r="L112" s="18" t="n">
        <v>6013</v>
      </c>
      <c r="M112" s="15" t="s">
        <v>85</v>
      </c>
      <c r="N112" s="15"/>
      <c r="O112" s="15"/>
      <c r="P112" s="26" t="s">
        <v>892</v>
      </c>
      <c r="Q112" s="19" t="s">
        <v>134</v>
      </c>
      <c r="R112" s="15"/>
      <c r="S112" s="19" t="s">
        <v>886</v>
      </c>
      <c r="T112" s="19" t="s">
        <v>633</v>
      </c>
      <c r="U112" s="19" t="s">
        <v>905</v>
      </c>
      <c r="V112" s="15"/>
      <c r="W112" s="15" t="s">
        <v>180</v>
      </c>
      <c r="X112" s="15"/>
      <c r="Y112" s="15"/>
      <c r="Z112" s="15" t="s">
        <v>906</v>
      </c>
      <c r="AA112" s="21" t="s">
        <v>94</v>
      </c>
      <c r="AB112" s="21" t="s">
        <v>94</v>
      </c>
      <c r="AC112" s="27" t="s">
        <v>213</v>
      </c>
      <c r="AD112" s="20" t="s">
        <v>93</v>
      </c>
      <c r="AE112" s="21" t="s">
        <v>94</v>
      </c>
      <c r="AF112" s="20" t="s">
        <v>93</v>
      </c>
      <c r="AG112" s="20" t="s">
        <v>93</v>
      </c>
      <c r="AH112" s="20" t="s">
        <v>93</v>
      </c>
      <c r="AI112" s="21" t="s">
        <v>94</v>
      </c>
    </row>
    <row r="113" customFormat="false" ht="57.75" hidden="false" customHeight="true" outlineLevel="0" collapsed="false">
      <c r="A113" s="22" t="n">
        <v>112</v>
      </c>
      <c r="B113" s="23" t="s">
        <v>76</v>
      </c>
      <c r="C113" s="22" t="s">
        <v>77</v>
      </c>
      <c r="D113" s="22" t="s">
        <v>78</v>
      </c>
      <c r="E113" s="24" t="s">
        <v>907</v>
      </c>
      <c r="F113" s="22" t="s">
        <v>881</v>
      </c>
      <c r="G113" s="22" t="s">
        <v>908</v>
      </c>
      <c r="H113" s="22" t="s">
        <v>520</v>
      </c>
      <c r="I113" s="22" t="s">
        <v>909</v>
      </c>
      <c r="J113" s="22" t="s">
        <v>910</v>
      </c>
      <c r="K113" s="25" t="n">
        <v>2734</v>
      </c>
      <c r="L113" s="25" t="n">
        <v>2996</v>
      </c>
      <c r="M113" s="22" t="s">
        <v>85</v>
      </c>
      <c r="N113" s="22"/>
      <c r="O113" s="22"/>
      <c r="P113" s="22"/>
      <c r="Q113" s="19" t="s">
        <v>134</v>
      </c>
      <c r="R113" s="22"/>
      <c r="S113" s="19" t="s">
        <v>886</v>
      </c>
      <c r="T113" s="19" t="s">
        <v>633</v>
      </c>
      <c r="U113" s="19" t="s">
        <v>911</v>
      </c>
      <c r="V113" s="22"/>
      <c r="W113" s="22" t="s">
        <v>180</v>
      </c>
      <c r="X113" s="22"/>
      <c r="Y113" s="22"/>
      <c r="Z113" s="22" t="s">
        <v>912</v>
      </c>
      <c r="AA113" s="21" t="s">
        <v>94</v>
      </c>
      <c r="AB113" s="21" t="s">
        <v>94</v>
      </c>
      <c r="AC113" s="21" t="s">
        <v>94</v>
      </c>
      <c r="AD113" s="20" t="s">
        <v>93</v>
      </c>
      <c r="AE113" s="21" t="s">
        <v>94</v>
      </c>
      <c r="AF113" s="20" t="s">
        <v>93</v>
      </c>
      <c r="AG113" s="20" t="s">
        <v>93</v>
      </c>
      <c r="AH113" s="20" t="s">
        <v>93</v>
      </c>
      <c r="AI113" s="21" t="s">
        <v>94</v>
      </c>
    </row>
    <row r="114" customFormat="false" ht="57.75" hidden="false" customHeight="true" outlineLevel="0" collapsed="false">
      <c r="A114" s="15" t="n">
        <v>113</v>
      </c>
      <c r="B114" s="16" t="s">
        <v>76</v>
      </c>
      <c r="C114" s="15" t="s">
        <v>77</v>
      </c>
      <c r="D114" s="15" t="s">
        <v>78</v>
      </c>
      <c r="E114" s="17" t="s">
        <v>913</v>
      </c>
      <c r="F114" s="15" t="s">
        <v>914</v>
      </c>
      <c r="G114" s="15" t="s">
        <v>915</v>
      </c>
      <c r="H114" s="15" t="s">
        <v>520</v>
      </c>
      <c r="I114" s="15" t="s">
        <v>916</v>
      </c>
      <c r="J114" s="15"/>
      <c r="K114" s="18"/>
      <c r="L114" s="18"/>
      <c r="M114" s="15" t="s">
        <v>85</v>
      </c>
      <c r="N114" s="15"/>
      <c r="O114" s="15"/>
      <c r="P114" s="26" t="s">
        <v>917</v>
      </c>
      <c r="Q114" s="15"/>
      <c r="R114" s="15"/>
      <c r="S114" s="19" t="s">
        <v>89</v>
      </c>
      <c r="T114" s="19" t="s">
        <v>633</v>
      </c>
      <c r="U114" s="19" t="s">
        <v>918</v>
      </c>
      <c r="V114" s="15"/>
      <c r="W114" s="15" t="s">
        <v>919</v>
      </c>
      <c r="X114" s="15"/>
      <c r="Y114" s="15"/>
      <c r="Z114" s="15" t="s">
        <v>368</v>
      </c>
      <c r="AA114" s="21" t="s">
        <v>94</v>
      </c>
      <c r="AB114" s="21" t="s">
        <v>94</v>
      </c>
      <c r="AC114" s="27" t="s">
        <v>213</v>
      </c>
      <c r="AD114" s="21" t="s">
        <v>94</v>
      </c>
      <c r="AE114" s="21" t="s">
        <v>94</v>
      </c>
      <c r="AF114" s="20" t="s">
        <v>93</v>
      </c>
      <c r="AG114" s="20" t="s">
        <v>93</v>
      </c>
      <c r="AH114" s="20" t="s">
        <v>93</v>
      </c>
      <c r="AI114" s="21" t="s">
        <v>94</v>
      </c>
    </row>
    <row r="115" customFormat="false" ht="57.75" hidden="false" customHeight="true" outlineLevel="0" collapsed="false">
      <c r="A115" s="22" t="n">
        <v>114</v>
      </c>
      <c r="B115" s="23" t="s">
        <v>76</v>
      </c>
      <c r="C115" s="22" t="s">
        <v>77</v>
      </c>
      <c r="D115" s="22" t="s">
        <v>78</v>
      </c>
      <c r="E115" s="24" t="s">
        <v>920</v>
      </c>
      <c r="F115" s="22" t="s">
        <v>914</v>
      </c>
      <c r="G115" s="22" t="s">
        <v>915</v>
      </c>
      <c r="H115" s="22" t="s">
        <v>817</v>
      </c>
      <c r="I115" s="22" t="s">
        <v>921</v>
      </c>
      <c r="J115" s="22"/>
      <c r="K115" s="25"/>
      <c r="L115" s="25"/>
      <c r="M115" s="22" t="s">
        <v>85</v>
      </c>
      <c r="N115" s="22"/>
      <c r="O115" s="22"/>
      <c r="P115" s="26" t="s">
        <v>922</v>
      </c>
      <c r="Q115" s="22"/>
      <c r="R115" s="22"/>
      <c r="S115" s="19" t="s">
        <v>89</v>
      </c>
      <c r="T115" s="19" t="s">
        <v>633</v>
      </c>
      <c r="U115" s="19" t="s">
        <v>923</v>
      </c>
      <c r="V115" s="22"/>
      <c r="W115" s="22" t="s">
        <v>924</v>
      </c>
      <c r="X115" s="22"/>
      <c r="Y115" s="22"/>
      <c r="Z115" s="22" t="s">
        <v>383</v>
      </c>
      <c r="AA115" s="21" t="s">
        <v>94</v>
      </c>
      <c r="AB115" s="21" t="s">
        <v>94</v>
      </c>
      <c r="AC115" s="27" t="s">
        <v>213</v>
      </c>
      <c r="AD115" s="21" t="s">
        <v>94</v>
      </c>
      <c r="AE115" s="21" t="s">
        <v>94</v>
      </c>
      <c r="AF115" s="20" t="s">
        <v>93</v>
      </c>
      <c r="AG115" s="20" t="s">
        <v>93</v>
      </c>
      <c r="AH115" s="20" t="s">
        <v>93</v>
      </c>
      <c r="AI115" s="21" t="s">
        <v>94</v>
      </c>
    </row>
    <row r="116" customFormat="false" ht="57.75" hidden="false" customHeight="true" outlineLevel="0" collapsed="false">
      <c r="A116" s="15" t="n">
        <v>115</v>
      </c>
      <c r="B116" s="16" t="s">
        <v>76</v>
      </c>
      <c r="C116" s="15" t="s">
        <v>77</v>
      </c>
      <c r="D116" s="15" t="s">
        <v>78</v>
      </c>
      <c r="E116" s="17" t="s">
        <v>925</v>
      </c>
      <c r="F116" s="15" t="s">
        <v>926</v>
      </c>
      <c r="G116" s="15" t="s">
        <v>877</v>
      </c>
      <c r="H116" s="15" t="s">
        <v>927</v>
      </c>
      <c r="I116" s="15" t="s">
        <v>928</v>
      </c>
      <c r="J116" s="15"/>
      <c r="K116" s="18"/>
      <c r="L116" s="18"/>
      <c r="M116" s="15" t="s">
        <v>94</v>
      </c>
      <c r="N116" s="19" t="s">
        <v>54</v>
      </c>
      <c r="O116" s="15"/>
      <c r="P116" s="19" t="s">
        <v>929</v>
      </c>
      <c r="Q116" s="19" t="s">
        <v>930</v>
      </c>
      <c r="R116" s="15"/>
      <c r="S116" s="19" t="s">
        <v>89</v>
      </c>
      <c r="T116" s="19" t="s">
        <v>633</v>
      </c>
      <c r="U116" s="19" t="s">
        <v>931</v>
      </c>
      <c r="V116" s="15"/>
      <c r="W116" s="15" t="s">
        <v>932</v>
      </c>
      <c r="X116" s="15"/>
      <c r="Y116" s="15"/>
      <c r="Z116" s="15" t="s">
        <v>933</v>
      </c>
      <c r="AA116" s="20" t="s">
        <v>93</v>
      </c>
      <c r="AB116" s="21" t="s">
        <v>94</v>
      </c>
      <c r="AC116" s="20" t="s">
        <v>93</v>
      </c>
      <c r="AD116" s="20" t="s">
        <v>93</v>
      </c>
      <c r="AE116" s="21" t="s">
        <v>94</v>
      </c>
      <c r="AF116" s="20" t="s">
        <v>93</v>
      </c>
      <c r="AG116" s="20" t="s">
        <v>93</v>
      </c>
      <c r="AH116" s="20" t="s">
        <v>93</v>
      </c>
      <c r="AI116" s="21" t="s">
        <v>94</v>
      </c>
    </row>
    <row r="117" customFormat="false" ht="57.75" hidden="false" customHeight="true" outlineLevel="0" collapsed="false">
      <c r="A117" s="22" t="n">
        <v>116</v>
      </c>
      <c r="B117" s="23" t="s">
        <v>76</v>
      </c>
      <c r="C117" s="22" t="s">
        <v>77</v>
      </c>
      <c r="D117" s="22" t="s">
        <v>78</v>
      </c>
      <c r="E117" s="24" t="s">
        <v>934</v>
      </c>
      <c r="F117" s="22" t="s">
        <v>935</v>
      </c>
      <c r="G117" s="22" t="s">
        <v>902</v>
      </c>
      <c r="H117" s="22" t="s">
        <v>520</v>
      </c>
      <c r="I117" s="22" t="s">
        <v>936</v>
      </c>
      <c r="J117" s="22" t="s">
        <v>937</v>
      </c>
      <c r="K117" s="25"/>
      <c r="L117" s="25"/>
      <c r="M117" s="22" t="s">
        <v>85</v>
      </c>
      <c r="N117" s="22"/>
      <c r="O117" s="22"/>
      <c r="P117" s="22"/>
      <c r="Q117" s="22"/>
      <c r="R117" s="22"/>
      <c r="S117" s="19" t="s">
        <v>89</v>
      </c>
      <c r="T117" s="19" t="s">
        <v>633</v>
      </c>
      <c r="U117" s="19" t="s">
        <v>938</v>
      </c>
      <c r="V117" s="22"/>
      <c r="W117" s="22" t="s">
        <v>180</v>
      </c>
      <c r="X117" s="22" t="s">
        <v>939</v>
      </c>
      <c r="Y117" s="22"/>
      <c r="Z117" s="22" t="s">
        <v>940</v>
      </c>
      <c r="AA117" s="21" t="s">
        <v>94</v>
      </c>
      <c r="AB117" s="21" t="s">
        <v>94</v>
      </c>
      <c r="AC117" s="21" t="s">
        <v>94</v>
      </c>
      <c r="AD117" s="21" t="s">
        <v>94</v>
      </c>
      <c r="AE117" s="21" t="s">
        <v>94</v>
      </c>
      <c r="AF117" s="20" t="s">
        <v>93</v>
      </c>
      <c r="AG117" s="20" t="s">
        <v>93</v>
      </c>
      <c r="AH117" s="20" t="s">
        <v>93</v>
      </c>
      <c r="AI117" s="21" t="s">
        <v>94</v>
      </c>
    </row>
    <row r="118" customFormat="false" ht="57.75" hidden="false" customHeight="true" outlineLevel="0" collapsed="false">
      <c r="A118" s="15" t="n">
        <v>117</v>
      </c>
      <c r="B118" s="16" t="s">
        <v>76</v>
      </c>
      <c r="C118" s="15" t="s">
        <v>77</v>
      </c>
      <c r="D118" s="15" t="s">
        <v>78</v>
      </c>
      <c r="E118" s="17" t="s">
        <v>941</v>
      </c>
      <c r="F118" s="15" t="s">
        <v>360</v>
      </c>
      <c r="G118" s="15" t="s">
        <v>942</v>
      </c>
      <c r="H118" s="15" t="s">
        <v>520</v>
      </c>
      <c r="I118" s="15" t="s">
        <v>943</v>
      </c>
      <c r="J118" s="15" t="s">
        <v>944</v>
      </c>
      <c r="K118" s="18" t="n">
        <v>5700</v>
      </c>
      <c r="L118" s="18" t="n">
        <v>5700</v>
      </c>
      <c r="M118" s="15" t="s">
        <v>85</v>
      </c>
      <c r="N118" s="19" t="s">
        <v>54</v>
      </c>
      <c r="O118" s="15"/>
      <c r="P118" s="19" t="s">
        <v>945</v>
      </c>
      <c r="Q118" s="19" t="s">
        <v>946</v>
      </c>
      <c r="R118" s="15"/>
      <c r="S118" s="15"/>
      <c r="T118" s="15"/>
      <c r="U118" s="19" t="s">
        <v>947</v>
      </c>
      <c r="V118" s="15"/>
      <c r="W118" s="15" t="s">
        <v>896</v>
      </c>
      <c r="X118" s="15"/>
      <c r="Y118" s="15"/>
      <c r="Z118" s="15" t="s">
        <v>948</v>
      </c>
      <c r="AA118" s="20" t="s">
        <v>93</v>
      </c>
      <c r="AB118" s="21" t="s">
        <v>94</v>
      </c>
      <c r="AC118" s="20" t="s">
        <v>93</v>
      </c>
      <c r="AD118" s="20" t="s">
        <v>93</v>
      </c>
      <c r="AE118" s="21" t="s">
        <v>94</v>
      </c>
      <c r="AF118" s="21" t="s">
        <v>94</v>
      </c>
      <c r="AG118" s="21" t="s">
        <v>94</v>
      </c>
      <c r="AH118" s="20" t="s">
        <v>93</v>
      </c>
      <c r="AI118" s="21" t="s">
        <v>94</v>
      </c>
    </row>
    <row r="119" customFormat="false" ht="57.75" hidden="false" customHeight="true" outlineLevel="0" collapsed="false">
      <c r="A119" s="22" t="n">
        <v>118</v>
      </c>
      <c r="B119" s="23" t="s">
        <v>76</v>
      </c>
      <c r="C119" s="22" t="s">
        <v>77</v>
      </c>
      <c r="D119" s="22" t="s">
        <v>78</v>
      </c>
      <c r="E119" s="24" t="s">
        <v>949</v>
      </c>
      <c r="F119" s="22" t="s">
        <v>950</v>
      </c>
      <c r="G119" s="22" t="s">
        <v>942</v>
      </c>
      <c r="H119" s="22" t="s">
        <v>263</v>
      </c>
      <c r="I119" s="22" t="s">
        <v>951</v>
      </c>
      <c r="J119" s="22" t="s">
        <v>952</v>
      </c>
      <c r="K119" s="25" t="n">
        <v>1500</v>
      </c>
      <c r="L119" s="25" t="n">
        <v>1700</v>
      </c>
      <c r="M119" s="22" t="s">
        <v>94</v>
      </c>
      <c r="N119" s="22"/>
      <c r="O119" s="22"/>
      <c r="P119" s="22"/>
      <c r="Q119" s="22"/>
      <c r="R119" s="22"/>
      <c r="S119" s="22"/>
      <c r="T119" s="19" t="s">
        <v>633</v>
      </c>
      <c r="U119" s="19" t="s">
        <v>468</v>
      </c>
      <c r="V119" s="22"/>
      <c r="W119" s="22"/>
      <c r="X119" s="22"/>
      <c r="Y119" s="22"/>
      <c r="Z119" s="22" t="s">
        <v>411</v>
      </c>
      <c r="AA119" s="21" t="s">
        <v>94</v>
      </c>
      <c r="AB119" s="21" t="s">
        <v>94</v>
      </c>
      <c r="AC119" s="21" t="s">
        <v>94</v>
      </c>
      <c r="AD119" s="21" t="s">
        <v>94</v>
      </c>
      <c r="AE119" s="21" t="s">
        <v>94</v>
      </c>
      <c r="AF119" s="21" t="s">
        <v>94</v>
      </c>
      <c r="AG119" s="20" t="s">
        <v>93</v>
      </c>
      <c r="AH119" s="20" t="s">
        <v>93</v>
      </c>
      <c r="AI119" s="21" t="s">
        <v>94</v>
      </c>
    </row>
    <row r="120" customFormat="false" ht="57.75" hidden="false" customHeight="true" outlineLevel="0" collapsed="false">
      <c r="A120" s="15" t="n">
        <v>119</v>
      </c>
      <c r="B120" s="16" t="s">
        <v>76</v>
      </c>
      <c r="C120" s="15" t="s">
        <v>77</v>
      </c>
      <c r="D120" s="15" t="s">
        <v>78</v>
      </c>
      <c r="E120" s="17" t="s">
        <v>953</v>
      </c>
      <c r="F120" s="15" t="s">
        <v>950</v>
      </c>
      <c r="G120" s="15" t="s">
        <v>902</v>
      </c>
      <c r="H120" s="15" t="s">
        <v>817</v>
      </c>
      <c r="I120" s="15" t="s">
        <v>954</v>
      </c>
      <c r="J120" s="15"/>
      <c r="K120" s="18"/>
      <c r="L120" s="18"/>
      <c r="M120" s="15" t="s">
        <v>85</v>
      </c>
      <c r="N120" s="15"/>
      <c r="O120" s="15"/>
      <c r="P120" s="15"/>
      <c r="Q120" s="15"/>
      <c r="R120" s="15"/>
      <c r="S120" s="15"/>
      <c r="T120" s="15"/>
      <c r="U120" s="15"/>
      <c r="V120" s="15"/>
      <c r="W120" s="15" t="s">
        <v>534</v>
      </c>
      <c r="X120" s="15"/>
      <c r="Y120" s="15"/>
      <c r="Z120" s="15" t="s">
        <v>955</v>
      </c>
      <c r="AA120" s="21" t="s">
        <v>94</v>
      </c>
      <c r="AB120" s="21" t="s">
        <v>94</v>
      </c>
      <c r="AC120" s="21" t="s">
        <v>94</v>
      </c>
      <c r="AD120" s="21" t="s">
        <v>94</v>
      </c>
      <c r="AE120" s="21" t="s">
        <v>94</v>
      </c>
      <c r="AF120" s="21" t="s">
        <v>94</v>
      </c>
      <c r="AG120" s="21" t="s">
        <v>94</v>
      </c>
      <c r="AH120" s="21" t="s">
        <v>94</v>
      </c>
      <c r="AI120" s="21" t="s">
        <v>94</v>
      </c>
    </row>
    <row r="121" customFormat="false" ht="57.75" hidden="false" customHeight="true" outlineLevel="0" collapsed="false">
      <c r="A121" s="22" t="n">
        <v>120</v>
      </c>
      <c r="B121" s="23" t="s">
        <v>76</v>
      </c>
      <c r="C121" s="22" t="s">
        <v>77</v>
      </c>
      <c r="D121" s="22" t="s">
        <v>78</v>
      </c>
      <c r="E121" s="24" t="s">
        <v>956</v>
      </c>
      <c r="F121" s="22" t="s">
        <v>957</v>
      </c>
      <c r="G121" s="22" t="s">
        <v>902</v>
      </c>
      <c r="H121" s="22" t="s">
        <v>227</v>
      </c>
      <c r="I121" s="22" t="s">
        <v>958</v>
      </c>
      <c r="J121" s="22"/>
      <c r="K121" s="25"/>
      <c r="L121" s="25"/>
      <c r="M121" s="22" t="s">
        <v>94</v>
      </c>
      <c r="N121" s="19" t="s">
        <v>54</v>
      </c>
      <c r="O121" s="22"/>
      <c r="P121" s="22"/>
      <c r="Q121" s="22"/>
      <c r="R121" s="22"/>
      <c r="S121" s="19" t="s">
        <v>959</v>
      </c>
      <c r="T121" s="19" t="s">
        <v>633</v>
      </c>
      <c r="U121" s="19" t="s">
        <v>510</v>
      </c>
      <c r="V121" s="22"/>
      <c r="W121" s="22" t="s">
        <v>534</v>
      </c>
      <c r="X121" s="22"/>
      <c r="Y121" s="22"/>
      <c r="Z121" s="22" t="s">
        <v>477</v>
      </c>
      <c r="AA121" s="20" t="s">
        <v>93</v>
      </c>
      <c r="AB121" s="21" t="s">
        <v>94</v>
      </c>
      <c r="AC121" s="21" t="s">
        <v>94</v>
      </c>
      <c r="AD121" s="21" t="s">
        <v>94</v>
      </c>
      <c r="AE121" s="21" t="s">
        <v>94</v>
      </c>
      <c r="AF121" s="20" t="s">
        <v>93</v>
      </c>
      <c r="AG121" s="20" t="s">
        <v>93</v>
      </c>
      <c r="AH121" s="20" t="s">
        <v>93</v>
      </c>
      <c r="AI121" s="21" t="s">
        <v>94</v>
      </c>
    </row>
    <row r="122" customFormat="false" ht="57.75" hidden="false" customHeight="true" outlineLevel="0" collapsed="false">
      <c r="A122" s="15" t="n">
        <v>121</v>
      </c>
      <c r="B122" s="16" t="s">
        <v>76</v>
      </c>
      <c r="C122" s="15" t="s">
        <v>77</v>
      </c>
      <c r="D122" s="15" t="s">
        <v>78</v>
      </c>
      <c r="E122" s="17" t="s">
        <v>960</v>
      </c>
      <c r="F122" s="15" t="s">
        <v>961</v>
      </c>
      <c r="G122" s="15" t="s">
        <v>962</v>
      </c>
      <c r="H122" s="15" t="s">
        <v>227</v>
      </c>
      <c r="I122" s="15" t="s">
        <v>492</v>
      </c>
      <c r="J122" s="15"/>
      <c r="K122" s="18"/>
      <c r="L122" s="18"/>
      <c r="M122" s="15" t="s">
        <v>94</v>
      </c>
      <c r="N122" s="15"/>
      <c r="O122" s="15"/>
      <c r="P122" s="15"/>
      <c r="Q122" s="15"/>
      <c r="R122" s="15"/>
      <c r="S122" s="15"/>
      <c r="T122" s="15"/>
      <c r="U122" s="15"/>
      <c r="V122" s="15"/>
      <c r="W122" s="15"/>
      <c r="X122" s="15" t="s">
        <v>963</v>
      </c>
      <c r="Y122" s="15"/>
      <c r="Z122" s="15" t="s">
        <v>964</v>
      </c>
      <c r="AA122" s="21" t="s">
        <v>94</v>
      </c>
      <c r="AB122" s="21" t="s">
        <v>94</v>
      </c>
      <c r="AC122" s="21" t="s">
        <v>94</v>
      </c>
      <c r="AD122" s="21" t="s">
        <v>94</v>
      </c>
      <c r="AE122" s="21" t="s">
        <v>94</v>
      </c>
      <c r="AF122" s="21" t="s">
        <v>94</v>
      </c>
      <c r="AG122" s="21" t="s">
        <v>94</v>
      </c>
      <c r="AH122" s="21" t="s">
        <v>94</v>
      </c>
      <c r="AI122" s="21" t="s">
        <v>94</v>
      </c>
    </row>
    <row r="123" customFormat="false" ht="57.75" hidden="false" customHeight="true" outlineLevel="0" collapsed="false">
      <c r="A123" s="22" t="n">
        <v>122</v>
      </c>
      <c r="B123" s="23" t="s">
        <v>76</v>
      </c>
      <c r="C123" s="22" t="s">
        <v>77</v>
      </c>
      <c r="D123" s="22" t="s">
        <v>78</v>
      </c>
      <c r="E123" s="24" t="s">
        <v>965</v>
      </c>
      <c r="F123" s="22"/>
      <c r="G123" s="22" t="s">
        <v>902</v>
      </c>
      <c r="H123" s="22" t="s">
        <v>966</v>
      </c>
      <c r="I123" s="22" t="s">
        <v>392</v>
      </c>
      <c r="J123" s="22"/>
      <c r="K123" s="25"/>
      <c r="L123" s="25"/>
      <c r="M123" s="22" t="s">
        <v>94</v>
      </c>
      <c r="N123" s="22"/>
      <c r="O123" s="22"/>
      <c r="P123" s="22"/>
      <c r="Q123" s="22"/>
      <c r="R123" s="22"/>
      <c r="S123" s="22"/>
      <c r="T123" s="19" t="s">
        <v>633</v>
      </c>
      <c r="U123" s="22"/>
      <c r="V123" s="22"/>
      <c r="W123" s="22" t="s">
        <v>967</v>
      </c>
      <c r="X123" s="22"/>
      <c r="Y123" s="22"/>
      <c r="Z123" s="22"/>
      <c r="AA123" s="21" t="s">
        <v>94</v>
      </c>
      <c r="AB123" s="21" t="s">
        <v>94</v>
      </c>
      <c r="AC123" s="21" t="s">
        <v>94</v>
      </c>
      <c r="AD123" s="21" t="s">
        <v>94</v>
      </c>
      <c r="AE123" s="21" t="s">
        <v>94</v>
      </c>
      <c r="AF123" s="21" t="s">
        <v>94</v>
      </c>
      <c r="AG123" s="20" t="s">
        <v>93</v>
      </c>
      <c r="AH123" s="21" t="s">
        <v>94</v>
      </c>
      <c r="AI123" s="21" t="s">
        <v>94</v>
      </c>
    </row>
    <row r="124" customFormat="false" ht="57.75" hidden="false" customHeight="true" outlineLevel="0" collapsed="false">
      <c r="A124" s="15" t="n">
        <v>123</v>
      </c>
      <c r="B124" s="16" t="s">
        <v>76</v>
      </c>
      <c r="C124" s="15" t="s">
        <v>77</v>
      </c>
      <c r="D124" s="15" t="s">
        <v>78</v>
      </c>
      <c r="E124" s="17" t="s">
        <v>968</v>
      </c>
      <c r="F124" s="15" t="s">
        <v>863</v>
      </c>
      <c r="G124" s="15" t="s">
        <v>969</v>
      </c>
      <c r="H124" s="15" t="s">
        <v>82</v>
      </c>
      <c r="I124" s="15" t="s">
        <v>970</v>
      </c>
      <c r="J124" s="15" t="s">
        <v>971</v>
      </c>
      <c r="K124" s="18" t="n">
        <v>846</v>
      </c>
      <c r="L124" s="18" t="n">
        <v>3315</v>
      </c>
      <c r="M124" s="15" t="s">
        <v>85</v>
      </c>
      <c r="N124" s="15"/>
      <c r="O124" s="15"/>
      <c r="P124" s="15"/>
      <c r="Q124" s="15"/>
      <c r="R124" s="15"/>
      <c r="S124" s="19" t="s">
        <v>200</v>
      </c>
      <c r="T124" s="19" t="s">
        <v>633</v>
      </c>
      <c r="U124" s="19" t="s">
        <v>972</v>
      </c>
      <c r="V124" s="15"/>
      <c r="W124" s="15" t="s">
        <v>973</v>
      </c>
      <c r="X124" s="15"/>
      <c r="Y124" s="15"/>
      <c r="Z124" s="15" t="s">
        <v>974</v>
      </c>
      <c r="AA124" s="21" t="s">
        <v>94</v>
      </c>
      <c r="AB124" s="21" t="s">
        <v>94</v>
      </c>
      <c r="AC124" s="21" t="s">
        <v>94</v>
      </c>
      <c r="AD124" s="21" t="s">
        <v>94</v>
      </c>
      <c r="AE124" s="21" t="s">
        <v>94</v>
      </c>
      <c r="AF124" s="20" t="s">
        <v>93</v>
      </c>
      <c r="AG124" s="20" t="s">
        <v>93</v>
      </c>
      <c r="AH124" s="20" t="s">
        <v>93</v>
      </c>
      <c r="AI124" s="21" t="s">
        <v>94</v>
      </c>
    </row>
    <row r="125" customFormat="false" ht="57.75" hidden="false" customHeight="true" outlineLevel="0" collapsed="false">
      <c r="A125" s="22" t="n">
        <v>124</v>
      </c>
      <c r="B125" s="23" t="s">
        <v>76</v>
      </c>
      <c r="C125" s="22" t="s">
        <v>77</v>
      </c>
      <c r="D125" s="22" t="s">
        <v>78</v>
      </c>
      <c r="E125" s="24" t="s">
        <v>975</v>
      </c>
      <c r="F125" s="22" t="s">
        <v>976</v>
      </c>
      <c r="G125" s="22" t="s">
        <v>977</v>
      </c>
      <c r="H125" s="22" t="s">
        <v>978</v>
      </c>
      <c r="I125" s="22" t="s">
        <v>979</v>
      </c>
      <c r="J125" s="22"/>
      <c r="K125" s="25"/>
      <c r="L125" s="25"/>
      <c r="M125" s="22" t="s">
        <v>94</v>
      </c>
      <c r="N125" s="22"/>
      <c r="O125" s="22"/>
      <c r="P125" s="22"/>
      <c r="Q125" s="22"/>
      <c r="R125" s="22"/>
      <c r="S125" s="22"/>
      <c r="T125" s="22"/>
      <c r="U125" s="22"/>
      <c r="V125" s="22"/>
      <c r="W125" s="22" t="s">
        <v>980</v>
      </c>
      <c r="X125" s="22"/>
      <c r="Y125" s="22"/>
      <c r="Z125" s="22" t="s">
        <v>411</v>
      </c>
      <c r="AA125" s="21" t="s">
        <v>94</v>
      </c>
      <c r="AB125" s="21" t="s">
        <v>94</v>
      </c>
      <c r="AC125" s="21" t="s">
        <v>94</v>
      </c>
      <c r="AD125" s="21" t="s">
        <v>94</v>
      </c>
      <c r="AE125" s="21" t="s">
        <v>94</v>
      </c>
      <c r="AF125" s="21" t="s">
        <v>94</v>
      </c>
      <c r="AG125" s="21" t="s">
        <v>94</v>
      </c>
      <c r="AH125" s="21" t="s">
        <v>94</v>
      </c>
      <c r="AI125" s="21" t="s">
        <v>94</v>
      </c>
    </row>
    <row r="126" customFormat="false" ht="57.75" hidden="false" customHeight="true" outlineLevel="0" collapsed="false">
      <c r="A126" s="15" t="n">
        <v>125</v>
      </c>
      <c r="B126" s="16" t="s">
        <v>76</v>
      </c>
      <c r="C126" s="15" t="s">
        <v>77</v>
      </c>
      <c r="D126" s="15" t="s">
        <v>78</v>
      </c>
      <c r="E126" s="17" t="s">
        <v>981</v>
      </c>
      <c r="F126" s="15" t="s">
        <v>316</v>
      </c>
      <c r="G126" s="15" t="s">
        <v>982</v>
      </c>
      <c r="H126" s="15" t="s">
        <v>983</v>
      </c>
      <c r="I126" s="15" t="s">
        <v>984</v>
      </c>
      <c r="J126" s="15"/>
      <c r="K126" s="18"/>
      <c r="L126" s="18"/>
      <c r="M126" s="15" t="s">
        <v>94</v>
      </c>
      <c r="N126" s="15"/>
      <c r="O126" s="15"/>
      <c r="P126" s="15"/>
      <c r="Q126" s="19" t="s">
        <v>395</v>
      </c>
      <c r="R126" s="15"/>
      <c r="S126" s="15"/>
      <c r="T126" s="19" t="s">
        <v>633</v>
      </c>
      <c r="U126" s="15"/>
      <c r="V126" s="15"/>
      <c r="W126" s="15" t="s">
        <v>534</v>
      </c>
      <c r="X126" s="15"/>
      <c r="Y126" s="15"/>
      <c r="Z126" s="15" t="s">
        <v>223</v>
      </c>
      <c r="AA126" s="21" t="s">
        <v>94</v>
      </c>
      <c r="AB126" s="21" t="s">
        <v>94</v>
      </c>
      <c r="AC126" s="21" t="s">
        <v>94</v>
      </c>
      <c r="AD126" s="20" t="s">
        <v>93</v>
      </c>
      <c r="AE126" s="21" t="s">
        <v>94</v>
      </c>
      <c r="AF126" s="21" t="s">
        <v>94</v>
      </c>
      <c r="AG126" s="20" t="s">
        <v>93</v>
      </c>
      <c r="AH126" s="21" t="s">
        <v>94</v>
      </c>
      <c r="AI126" s="21" t="s">
        <v>94</v>
      </c>
    </row>
    <row r="127" customFormat="false" ht="57.75" hidden="false" customHeight="true" outlineLevel="0" collapsed="false">
      <c r="A127" s="22" t="n">
        <v>126</v>
      </c>
      <c r="B127" s="23" t="s">
        <v>76</v>
      </c>
      <c r="C127" s="22" t="s">
        <v>77</v>
      </c>
      <c r="D127" s="22" t="s">
        <v>78</v>
      </c>
      <c r="E127" s="24" t="s">
        <v>985</v>
      </c>
      <c r="F127" s="22" t="s">
        <v>986</v>
      </c>
      <c r="G127" s="22" t="s">
        <v>987</v>
      </c>
      <c r="H127" s="22" t="s">
        <v>520</v>
      </c>
      <c r="I127" s="22" t="s">
        <v>988</v>
      </c>
      <c r="J127" s="22" t="s">
        <v>989</v>
      </c>
      <c r="K127" s="25" t="n">
        <v>2995</v>
      </c>
      <c r="L127" s="25" t="n">
        <v>3770</v>
      </c>
      <c r="M127" s="22" t="s">
        <v>85</v>
      </c>
      <c r="N127" s="19" t="s">
        <v>54</v>
      </c>
      <c r="O127" s="22"/>
      <c r="P127" s="19" t="s">
        <v>990</v>
      </c>
      <c r="Q127" s="22"/>
      <c r="R127" s="22"/>
      <c r="S127" s="22"/>
      <c r="T127" s="19" t="s">
        <v>633</v>
      </c>
      <c r="U127" s="19" t="s">
        <v>991</v>
      </c>
      <c r="V127" s="22"/>
      <c r="W127" s="22" t="s">
        <v>992</v>
      </c>
      <c r="X127" s="22"/>
      <c r="Y127" s="22"/>
      <c r="Z127" s="22" t="s">
        <v>707</v>
      </c>
      <c r="AA127" s="20" t="s">
        <v>93</v>
      </c>
      <c r="AB127" s="21" t="s">
        <v>94</v>
      </c>
      <c r="AC127" s="20" t="s">
        <v>93</v>
      </c>
      <c r="AD127" s="21" t="s">
        <v>94</v>
      </c>
      <c r="AE127" s="21" t="s">
        <v>94</v>
      </c>
      <c r="AF127" s="21" t="s">
        <v>94</v>
      </c>
      <c r="AG127" s="20" t="s">
        <v>93</v>
      </c>
      <c r="AH127" s="20" t="s">
        <v>93</v>
      </c>
      <c r="AI127" s="21" t="s">
        <v>94</v>
      </c>
    </row>
    <row r="128" customFormat="false" ht="57.75" hidden="false" customHeight="true" outlineLevel="0" collapsed="false">
      <c r="A128" s="15" t="n">
        <v>127</v>
      </c>
      <c r="B128" s="16" t="s">
        <v>76</v>
      </c>
      <c r="C128" s="15" t="s">
        <v>77</v>
      </c>
      <c r="D128" s="15" t="s">
        <v>78</v>
      </c>
      <c r="E128" s="17" t="s">
        <v>993</v>
      </c>
      <c r="F128" s="15" t="s">
        <v>994</v>
      </c>
      <c r="G128" s="15" t="s">
        <v>995</v>
      </c>
      <c r="H128" s="15" t="s">
        <v>808</v>
      </c>
      <c r="I128" s="15" t="s">
        <v>996</v>
      </c>
      <c r="J128" s="15"/>
      <c r="K128" s="18"/>
      <c r="L128" s="18"/>
      <c r="M128" s="15" t="s">
        <v>94</v>
      </c>
      <c r="N128" s="15"/>
      <c r="O128" s="19" t="s">
        <v>997</v>
      </c>
      <c r="P128" s="15"/>
      <c r="Q128" s="15"/>
      <c r="R128" s="19" t="s">
        <v>998</v>
      </c>
      <c r="S128" s="15"/>
      <c r="T128" s="15"/>
      <c r="U128" s="15"/>
      <c r="V128" s="15"/>
      <c r="W128" s="15" t="s">
        <v>180</v>
      </c>
      <c r="X128" s="15"/>
      <c r="Y128" s="15"/>
      <c r="Z128" s="15" t="s">
        <v>477</v>
      </c>
      <c r="AA128" s="21" t="s">
        <v>94</v>
      </c>
      <c r="AB128" s="20" t="s">
        <v>93</v>
      </c>
      <c r="AC128" s="21" t="s">
        <v>94</v>
      </c>
      <c r="AD128" s="21" t="s">
        <v>94</v>
      </c>
      <c r="AE128" s="20" t="s">
        <v>93</v>
      </c>
      <c r="AF128" s="21" t="s">
        <v>94</v>
      </c>
      <c r="AG128" s="21" t="s">
        <v>94</v>
      </c>
      <c r="AH128" s="21" t="s">
        <v>94</v>
      </c>
      <c r="AI128" s="21" t="s">
        <v>94</v>
      </c>
    </row>
    <row r="129" customFormat="false" ht="57.75" hidden="false" customHeight="true" outlineLevel="0" collapsed="false">
      <c r="A129" s="22" t="n">
        <v>128</v>
      </c>
      <c r="B129" s="23" t="s">
        <v>76</v>
      </c>
      <c r="C129" s="22" t="s">
        <v>77</v>
      </c>
      <c r="D129" s="22" t="s">
        <v>78</v>
      </c>
      <c r="E129" s="24" t="s">
        <v>999</v>
      </c>
      <c r="F129" s="22" t="s">
        <v>1000</v>
      </c>
      <c r="G129" s="22" t="s">
        <v>1001</v>
      </c>
      <c r="H129" s="22" t="s">
        <v>227</v>
      </c>
      <c r="I129" s="22" t="s">
        <v>1002</v>
      </c>
      <c r="J129" s="22"/>
      <c r="K129" s="25"/>
      <c r="L129" s="25"/>
      <c r="M129" s="22" t="s">
        <v>94</v>
      </c>
      <c r="N129" s="22"/>
      <c r="O129" s="22"/>
      <c r="P129" s="22"/>
      <c r="Q129" s="22"/>
      <c r="R129" s="22"/>
      <c r="S129" s="22"/>
      <c r="T129" s="19" t="s">
        <v>633</v>
      </c>
      <c r="U129" s="19" t="s">
        <v>1003</v>
      </c>
      <c r="V129" s="22"/>
      <c r="W129" s="22" t="s">
        <v>1004</v>
      </c>
      <c r="X129" s="22"/>
      <c r="Y129" s="22"/>
      <c r="Z129" s="22" t="s">
        <v>383</v>
      </c>
      <c r="AA129" s="21" t="s">
        <v>94</v>
      </c>
      <c r="AB129" s="21" t="s">
        <v>94</v>
      </c>
      <c r="AC129" s="21" t="s">
        <v>94</v>
      </c>
      <c r="AD129" s="21" t="s">
        <v>94</v>
      </c>
      <c r="AE129" s="21" t="s">
        <v>94</v>
      </c>
      <c r="AF129" s="21" t="s">
        <v>94</v>
      </c>
      <c r="AG129" s="20" t="s">
        <v>93</v>
      </c>
      <c r="AH129" s="20" t="s">
        <v>93</v>
      </c>
      <c r="AI129" s="21" t="s">
        <v>94</v>
      </c>
    </row>
    <row r="130" customFormat="false" ht="57.75" hidden="false" customHeight="true" outlineLevel="0" collapsed="false">
      <c r="A130" s="15" t="n">
        <v>129</v>
      </c>
      <c r="B130" s="16" t="s">
        <v>76</v>
      </c>
      <c r="C130" s="15" t="s">
        <v>77</v>
      </c>
      <c r="D130" s="15" t="s">
        <v>78</v>
      </c>
      <c r="E130" s="17" t="s">
        <v>1005</v>
      </c>
      <c r="F130" s="15" t="s">
        <v>1006</v>
      </c>
      <c r="G130" s="15" t="s">
        <v>1001</v>
      </c>
      <c r="H130" s="15" t="s">
        <v>263</v>
      </c>
      <c r="I130" s="15" t="s">
        <v>1007</v>
      </c>
      <c r="J130" s="15"/>
      <c r="K130" s="18"/>
      <c r="L130" s="18"/>
      <c r="M130" s="15" t="s">
        <v>94</v>
      </c>
      <c r="N130" s="15"/>
      <c r="O130" s="15"/>
      <c r="P130" s="15"/>
      <c r="Q130" s="15"/>
      <c r="R130" s="15"/>
      <c r="S130" s="19" t="s">
        <v>200</v>
      </c>
      <c r="T130" s="15"/>
      <c r="U130" s="15"/>
      <c r="V130" s="15"/>
      <c r="W130" s="15" t="s">
        <v>1008</v>
      </c>
      <c r="X130" s="15"/>
      <c r="Y130" s="15"/>
      <c r="Z130" s="15" t="s">
        <v>321</v>
      </c>
      <c r="AA130" s="21" t="s">
        <v>94</v>
      </c>
      <c r="AB130" s="21" t="s">
        <v>94</v>
      </c>
      <c r="AC130" s="21" t="s">
        <v>94</v>
      </c>
      <c r="AD130" s="21" t="s">
        <v>94</v>
      </c>
      <c r="AE130" s="21" t="s">
        <v>94</v>
      </c>
      <c r="AF130" s="20" t="s">
        <v>93</v>
      </c>
      <c r="AG130" s="21" t="s">
        <v>94</v>
      </c>
      <c r="AH130" s="21" t="s">
        <v>94</v>
      </c>
      <c r="AI130" s="21" t="s">
        <v>94</v>
      </c>
    </row>
    <row r="131" customFormat="false" ht="57.75" hidden="false" customHeight="true" outlineLevel="0" collapsed="false">
      <c r="A131" s="22" t="n">
        <v>130</v>
      </c>
      <c r="B131" s="23" t="s">
        <v>76</v>
      </c>
      <c r="C131" s="22" t="s">
        <v>77</v>
      </c>
      <c r="D131" s="22" t="s">
        <v>78</v>
      </c>
      <c r="E131" s="24" t="s">
        <v>1009</v>
      </c>
      <c r="F131" s="22" t="s">
        <v>1010</v>
      </c>
      <c r="G131" s="22" t="s">
        <v>1011</v>
      </c>
      <c r="H131" s="22" t="s">
        <v>227</v>
      </c>
      <c r="I131" s="22" t="s">
        <v>1012</v>
      </c>
      <c r="J131" s="22"/>
      <c r="K131" s="25"/>
      <c r="L131" s="25"/>
      <c r="M131" s="22" t="s">
        <v>94</v>
      </c>
      <c r="N131" s="22"/>
      <c r="O131" s="22"/>
      <c r="P131" s="22"/>
      <c r="Q131" s="22"/>
      <c r="R131" s="22"/>
      <c r="S131" s="22"/>
      <c r="T131" s="22"/>
      <c r="U131" s="22"/>
      <c r="V131" s="22"/>
      <c r="W131" s="22"/>
      <c r="X131" s="22" t="s">
        <v>624</v>
      </c>
      <c r="Y131" s="22"/>
      <c r="Z131" s="22" t="s">
        <v>150</v>
      </c>
      <c r="AA131" s="21" t="s">
        <v>94</v>
      </c>
      <c r="AB131" s="21" t="s">
        <v>94</v>
      </c>
      <c r="AC131" s="21" t="s">
        <v>94</v>
      </c>
      <c r="AD131" s="21" t="s">
        <v>94</v>
      </c>
      <c r="AE131" s="21" t="s">
        <v>94</v>
      </c>
      <c r="AF131" s="21" t="s">
        <v>94</v>
      </c>
      <c r="AG131" s="21" t="s">
        <v>94</v>
      </c>
      <c r="AH131" s="21" t="s">
        <v>94</v>
      </c>
      <c r="AI131" s="21" t="s">
        <v>94</v>
      </c>
    </row>
    <row r="132" customFormat="false" ht="57.75" hidden="false" customHeight="true" outlineLevel="0" collapsed="false">
      <c r="A132" s="15" t="n">
        <v>131</v>
      </c>
      <c r="B132" s="16" t="s">
        <v>76</v>
      </c>
      <c r="C132" s="15" t="s">
        <v>77</v>
      </c>
      <c r="D132" s="15" t="s">
        <v>78</v>
      </c>
      <c r="E132" s="17" t="s">
        <v>1013</v>
      </c>
      <c r="F132" s="15" t="s">
        <v>1014</v>
      </c>
      <c r="G132" s="15" t="s">
        <v>1015</v>
      </c>
      <c r="H132" s="15" t="s">
        <v>227</v>
      </c>
      <c r="I132" s="15" t="s">
        <v>1016</v>
      </c>
      <c r="J132" s="15"/>
      <c r="K132" s="18"/>
      <c r="L132" s="18"/>
      <c r="M132" s="15" t="s">
        <v>94</v>
      </c>
      <c r="N132" s="15"/>
      <c r="O132" s="15"/>
      <c r="P132" s="15"/>
      <c r="Q132" s="19" t="s">
        <v>395</v>
      </c>
      <c r="R132" s="15"/>
      <c r="S132" s="15"/>
      <c r="T132" s="19" t="s">
        <v>633</v>
      </c>
      <c r="U132" s="19" t="s">
        <v>1017</v>
      </c>
      <c r="V132" s="15"/>
      <c r="W132" s="15"/>
      <c r="X132" s="15"/>
      <c r="Y132" s="15"/>
      <c r="Z132" s="15"/>
      <c r="AA132" s="21" t="s">
        <v>94</v>
      </c>
      <c r="AB132" s="21" t="s">
        <v>94</v>
      </c>
      <c r="AC132" s="21" t="s">
        <v>94</v>
      </c>
      <c r="AD132" s="20" t="s">
        <v>93</v>
      </c>
      <c r="AE132" s="21" t="s">
        <v>94</v>
      </c>
      <c r="AF132" s="21" t="s">
        <v>94</v>
      </c>
      <c r="AG132" s="20" t="s">
        <v>93</v>
      </c>
      <c r="AH132" s="20" t="s">
        <v>93</v>
      </c>
      <c r="AI132" s="21" t="s">
        <v>94</v>
      </c>
    </row>
    <row r="133" customFormat="false" ht="57.75" hidden="false" customHeight="true" outlineLevel="0" collapsed="false">
      <c r="A133" s="22" t="n">
        <v>132</v>
      </c>
      <c r="B133" s="23" t="s">
        <v>76</v>
      </c>
      <c r="C133" s="22" t="s">
        <v>77</v>
      </c>
      <c r="D133" s="22" t="s">
        <v>78</v>
      </c>
      <c r="E133" s="24" t="s">
        <v>1018</v>
      </c>
      <c r="F133" s="22" t="s">
        <v>1019</v>
      </c>
      <c r="G133" s="22" t="s">
        <v>1020</v>
      </c>
      <c r="H133" s="22" t="s">
        <v>227</v>
      </c>
      <c r="I133" s="22" t="s">
        <v>695</v>
      </c>
      <c r="J133" s="22"/>
      <c r="K133" s="25"/>
      <c r="L133" s="25"/>
      <c r="M133" s="22" t="s">
        <v>94</v>
      </c>
      <c r="N133" s="22"/>
      <c r="O133" s="19" t="s">
        <v>1021</v>
      </c>
      <c r="P133" s="22"/>
      <c r="Q133" s="22"/>
      <c r="R133" s="22"/>
      <c r="S133" s="22"/>
      <c r="T133" s="22"/>
      <c r="U133" s="19" t="s">
        <v>1022</v>
      </c>
      <c r="V133" s="22"/>
      <c r="W133" s="22" t="s">
        <v>1023</v>
      </c>
      <c r="X133" s="22" t="s">
        <v>1024</v>
      </c>
      <c r="Y133" s="22"/>
      <c r="Z133" s="22"/>
      <c r="AA133" s="21" t="s">
        <v>94</v>
      </c>
      <c r="AB133" s="20" t="s">
        <v>93</v>
      </c>
      <c r="AC133" s="21" t="s">
        <v>94</v>
      </c>
      <c r="AD133" s="21" t="s">
        <v>94</v>
      </c>
      <c r="AE133" s="21" t="s">
        <v>94</v>
      </c>
      <c r="AF133" s="21" t="s">
        <v>94</v>
      </c>
      <c r="AG133" s="21" t="s">
        <v>94</v>
      </c>
      <c r="AH133" s="20" t="s">
        <v>93</v>
      </c>
      <c r="AI133" s="21" t="s">
        <v>94</v>
      </c>
    </row>
    <row r="134" customFormat="false" ht="57.75" hidden="false" customHeight="true" outlineLevel="0" collapsed="false">
      <c r="A134" s="15" t="n">
        <v>133</v>
      </c>
      <c r="B134" s="16" t="s">
        <v>76</v>
      </c>
      <c r="C134" s="15" t="s">
        <v>77</v>
      </c>
      <c r="D134" s="15" t="s">
        <v>78</v>
      </c>
      <c r="E134" s="17" t="s">
        <v>1025</v>
      </c>
      <c r="F134" s="15" t="s">
        <v>1026</v>
      </c>
      <c r="G134" s="15" t="s">
        <v>1027</v>
      </c>
      <c r="H134" s="15" t="s">
        <v>227</v>
      </c>
      <c r="I134" s="15" t="s">
        <v>562</v>
      </c>
      <c r="J134" s="15"/>
      <c r="K134" s="18"/>
      <c r="L134" s="18"/>
      <c r="M134" s="15" t="s">
        <v>94</v>
      </c>
      <c r="N134" s="15"/>
      <c r="O134" s="15"/>
      <c r="P134" s="15"/>
      <c r="Q134" s="15"/>
      <c r="R134" s="15"/>
      <c r="S134" s="15"/>
      <c r="T134" s="15"/>
      <c r="U134" s="15"/>
      <c r="V134" s="15"/>
      <c r="W134" s="15" t="s">
        <v>180</v>
      </c>
      <c r="X134" s="15"/>
      <c r="Y134" s="15"/>
      <c r="Z134" s="15"/>
      <c r="AA134" s="21" t="s">
        <v>94</v>
      </c>
      <c r="AB134" s="21" t="s">
        <v>94</v>
      </c>
      <c r="AC134" s="21" t="s">
        <v>94</v>
      </c>
      <c r="AD134" s="21" t="s">
        <v>94</v>
      </c>
      <c r="AE134" s="21" t="s">
        <v>94</v>
      </c>
      <c r="AF134" s="21" t="s">
        <v>94</v>
      </c>
      <c r="AG134" s="21" t="s">
        <v>94</v>
      </c>
      <c r="AH134" s="21" t="s">
        <v>94</v>
      </c>
      <c r="AI134" s="21" t="s">
        <v>94</v>
      </c>
    </row>
    <row r="135" customFormat="false" ht="57.75" hidden="false" customHeight="true" outlineLevel="0" collapsed="false">
      <c r="A135" s="22" t="n">
        <v>134</v>
      </c>
      <c r="B135" s="23" t="s">
        <v>76</v>
      </c>
      <c r="C135" s="22" t="s">
        <v>77</v>
      </c>
      <c r="D135" s="22" t="s">
        <v>78</v>
      </c>
      <c r="E135" s="24" t="s">
        <v>1028</v>
      </c>
      <c r="F135" s="22" t="s">
        <v>1029</v>
      </c>
      <c r="G135" s="22" t="s">
        <v>479</v>
      </c>
      <c r="H135" s="22" t="s">
        <v>520</v>
      </c>
      <c r="I135" s="22" t="s">
        <v>1030</v>
      </c>
      <c r="J135" s="22" t="s">
        <v>1031</v>
      </c>
      <c r="K135" s="25" t="n">
        <v>2728</v>
      </c>
      <c r="L135" s="25" t="n">
        <v>4628</v>
      </c>
      <c r="M135" s="22" t="s">
        <v>85</v>
      </c>
      <c r="N135" s="22"/>
      <c r="O135" s="22"/>
      <c r="P135" s="22"/>
      <c r="Q135" s="22"/>
      <c r="R135" s="22"/>
      <c r="S135" s="22"/>
      <c r="T135" s="22"/>
      <c r="U135" s="22"/>
      <c r="V135" s="22"/>
      <c r="W135" s="22" t="s">
        <v>180</v>
      </c>
      <c r="X135" s="22"/>
      <c r="Y135" s="22"/>
      <c r="Z135" s="22" t="s">
        <v>128</v>
      </c>
      <c r="AA135" s="21" t="s">
        <v>94</v>
      </c>
      <c r="AB135" s="21" t="s">
        <v>94</v>
      </c>
      <c r="AC135" s="21" t="s">
        <v>94</v>
      </c>
      <c r="AD135" s="21" t="s">
        <v>94</v>
      </c>
      <c r="AE135" s="21" t="s">
        <v>94</v>
      </c>
      <c r="AF135" s="21" t="s">
        <v>94</v>
      </c>
      <c r="AG135" s="21" t="s">
        <v>94</v>
      </c>
      <c r="AH135" s="21" t="s">
        <v>94</v>
      </c>
      <c r="AI135" s="21" t="s">
        <v>94</v>
      </c>
    </row>
    <row r="136" customFormat="false" ht="57.75" hidden="false" customHeight="true" outlineLevel="0" collapsed="false">
      <c r="A136" s="15" t="n">
        <v>135</v>
      </c>
      <c r="B136" s="16" t="s">
        <v>76</v>
      </c>
      <c r="C136" s="15" t="s">
        <v>77</v>
      </c>
      <c r="D136" s="15" t="s">
        <v>78</v>
      </c>
      <c r="E136" s="17" t="s">
        <v>1032</v>
      </c>
      <c r="F136" s="15" t="s">
        <v>1033</v>
      </c>
      <c r="G136" s="15" t="s">
        <v>1015</v>
      </c>
      <c r="H136" s="15" t="s">
        <v>1034</v>
      </c>
      <c r="I136" s="15" t="s">
        <v>1035</v>
      </c>
      <c r="J136" s="15"/>
      <c r="K136" s="18"/>
      <c r="L136" s="18"/>
      <c r="M136" s="15" t="s">
        <v>94</v>
      </c>
      <c r="N136" s="15"/>
      <c r="O136" s="15"/>
      <c r="P136" s="15"/>
      <c r="Q136" s="15"/>
      <c r="R136" s="15"/>
      <c r="S136" s="19" t="s">
        <v>89</v>
      </c>
      <c r="T136" s="15"/>
      <c r="U136" s="19" t="s">
        <v>1036</v>
      </c>
      <c r="V136" s="15"/>
      <c r="W136" s="15"/>
      <c r="X136" s="15"/>
      <c r="Y136" s="15"/>
      <c r="Z136" s="15"/>
      <c r="AA136" s="21" t="s">
        <v>94</v>
      </c>
      <c r="AB136" s="21" t="s">
        <v>94</v>
      </c>
      <c r="AC136" s="21" t="s">
        <v>94</v>
      </c>
      <c r="AD136" s="21" t="s">
        <v>94</v>
      </c>
      <c r="AE136" s="21" t="s">
        <v>94</v>
      </c>
      <c r="AF136" s="20" t="s">
        <v>93</v>
      </c>
      <c r="AG136" s="21" t="s">
        <v>94</v>
      </c>
      <c r="AH136" s="20" t="s">
        <v>93</v>
      </c>
      <c r="AI136" s="21" t="s">
        <v>94</v>
      </c>
    </row>
    <row r="137" customFormat="false" ht="57.75" hidden="false" customHeight="true" outlineLevel="0" collapsed="false">
      <c r="A137" s="22" t="n">
        <v>136</v>
      </c>
      <c r="B137" s="23" t="s">
        <v>76</v>
      </c>
      <c r="C137" s="22" t="s">
        <v>77</v>
      </c>
      <c r="D137" s="22" t="s">
        <v>78</v>
      </c>
      <c r="E137" s="24" t="s">
        <v>1037</v>
      </c>
      <c r="F137" s="22" t="s">
        <v>1038</v>
      </c>
      <c r="G137" s="22" t="s">
        <v>1039</v>
      </c>
      <c r="H137" s="22" t="s">
        <v>520</v>
      </c>
      <c r="I137" s="22" t="s">
        <v>1040</v>
      </c>
      <c r="J137" s="22" t="s">
        <v>1041</v>
      </c>
      <c r="K137" s="25" t="n">
        <v>1804</v>
      </c>
      <c r="L137" s="25" t="n">
        <v>1903</v>
      </c>
      <c r="M137" s="22" t="s">
        <v>85</v>
      </c>
      <c r="N137" s="22"/>
      <c r="O137" s="22"/>
      <c r="P137" s="22"/>
      <c r="Q137" s="22"/>
      <c r="R137" s="22"/>
      <c r="S137" s="22"/>
      <c r="T137" s="19" t="s">
        <v>633</v>
      </c>
      <c r="U137" s="19" t="s">
        <v>1042</v>
      </c>
      <c r="V137" s="22"/>
      <c r="W137" s="22" t="s">
        <v>180</v>
      </c>
      <c r="X137" s="22"/>
      <c r="Y137" s="22"/>
      <c r="Z137" s="22" t="s">
        <v>1043</v>
      </c>
      <c r="AA137" s="21" t="s">
        <v>94</v>
      </c>
      <c r="AB137" s="21" t="s">
        <v>94</v>
      </c>
      <c r="AC137" s="21" t="s">
        <v>94</v>
      </c>
      <c r="AD137" s="21" t="s">
        <v>94</v>
      </c>
      <c r="AE137" s="21" t="s">
        <v>94</v>
      </c>
      <c r="AF137" s="21" t="s">
        <v>94</v>
      </c>
      <c r="AG137" s="20" t="s">
        <v>93</v>
      </c>
      <c r="AH137" s="20" t="s">
        <v>93</v>
      </c>
      <c r="AI137" s="21" t="s">
        <v>94</v>
      </c>
    </row>
    <row r="138" customFormat="false" ht="57.75" hidden="false" customHeight="true" outlineLevel="0" collapsed="false">
      <c r="A138" s="15" t="n">
        <v>137</v>
      </c>
      <c r="B138" s="16" t="s">
        <v>76</v>
      </c>
      <c r="C138" s="15" t="s">
        <v>77</v>
      </c>
      <c r="D138" s="15" t="s">
        <v>78</v>
      </c>
      <c r="E138" s="17" t="s">
        <v>1044</v>
      </c>
      <c r="F138" s="15" t="s">
        <v>1038</v>
      </c>
      <c r="G138" s="15" t="s">
        <v>1039</v>
      </c>
      <c r="H138" s="15" t="s">
        <v>520</v>
      </c>
      <c r="I138" s="15" t="s">
        <v>1045</v>
      </c>
      <c r="J138" s="15" t="s">
        <v>1046</v>
      </c>
      <c r="K138" s="18" t="n">
        <v>1804</v>
      </c>
      <c r="L138" s="18" t="n">
        <v>1999</v>
      </c>
      <c r="M138" s="15" t="s">
        <v>85</v>
      </c>
      <c r="N138" s="15"/>
      <c r="O138" s="15"/>
      <c r="P138" s="15"/>
      <c r="Q138" s="15"/>
      <c r="R138" s="15"/>
      <c r="S138" s="15"/>
      <c r="T138" s="19" t="s">
        <v>633</v>
      </c>
      <c r="U138" s="19" t="s">
        <v>1042</v>
      </c>
      <c r="V138" s="15"/>
      <c r="W138" s="15" t="s">
        <v>180</v>
      </c>
      <c r="X138" s="15"/>
      <c r="Y138" s="15"/>
      <c r="Z138" s="15" t="s">
        <v>1047</v>
      </c>
      <c r="AA138" s="21" t="s">
        <v>94</v>
      </c>
      <c r="AB138" s="21" t="s">
        <v>94</v>
      </c>
      <c r="AC138" s="21" t="s">
        <v>94</v>
      </c>
      <c r="AD138" s="21" t="s">
        <v>94</v>
      </c>
      <c r="AE138" s="21" t="s">
        <v>94</v>
      </c>
      <c r="AF138" s="21" t="s">
        <v>94</v>
      </c>
      <c r="AG138" s="20" t="s">
        <v>93</v>
      </c>
      <c r="AH138" s="20" t="s">
        <v>93</v>
      </c>
      <c r="AI138" s="21" t="s">
        <v>94</v>
      </c>
    </row>
    <row r="139" customFormat="false" ht="57.75" hidden="false" customHeight="true" outlineLevel="0" collapsed="false">
      <c r="A139" s="22" t="n">
        <v>138</v>
      </c>
      <c r="B139" s="23" t="s">
        <v>76</v>
      </c>
      <c r="C139" s="22" t="s">
        <v>77</v>
      </c>
      <c r="D139" s="22" t="s">
        <v>78</v>
      </c>
      <c r="E139" s="24" t="s">
        <v>1048</v>
      </c>
      <c r="F139" s="22" t="s">
        <v>1049</v>
      </c>
      <c r="G139" s="22" t="s">
        <v>1050</v>
      </c>
      <c r="H139" s="22" t="s">
        <v>966</v>
      </c>
      <c r="I139" s="22" t="s">
        <v>1051</v>
      </c>
      <c r="J139" s="22"/>
      <c r="K139" s="25"/>
      <c r="L139" s="25"/>
      <c r="M139" s="22" t="s">
        <v>94</v>
      </c>
      <c r="N139" s="19" t="s">
        <v>54</v>
      </c>
      <c r="O139" s="22"/>
      <c r="P139" s="22"/>
      <c r="Q139" s="22"/>
      <c r="R139" s="22"/>
      <c r="S139" s="22"/>
      <c r="T139" s="19" t="s">
        <v>633</v>
      </c>
      <c r="U139" s="22"/>
      <c r="V139" s="22"/>
      <c r="W139" s="22"/>
      <c r="X139" s="22"/>
      <c r="Y139" s="22"/>
      <c r="Z139" s="22" t="s">
        <v>383</v>
      </c>
      <c r="AA139" s="20" t="s">
        <v>93</v>
      </c>
      <c r="AB139" s="21" t="s">
        <v>94</v>
      </c>
      <c r="AC139" s="21" t="s">
        <v>94</v>
      </c>
      <c r="AD139" s="21" t="s">
        <v>94</v>
      </c>
      <c r="AE139" s="21" t="s">
        <v>94</v>
      </c>
      <c r="AF139" s="21" t="s">
        <v>94</v>
      </c>
      <c r="AG139" s="20" t="s">
        <v>93</v>
      </c>
      <c r="AH139" s="21" t="s">
        <v>94</v>
      </c>
      <c r="AI139" s="21" t="s">
        <v>94</v>
      </c>
    </row>
    <row r="140" customFormat="false" ht="57.75" hidden="false" customHeight="true" outlineLevel="0" collapsed="false">
      <c r="A140" s="15" t="n">
        <v>139</v>
      </c>
      <c r="B140" s="16" t="s">
        <v>76</v>
      </c>
      <c r="C140" s="15" t="s">
        <v>77</v>
      </c>
      <c r="D140" s="15" t="s">
        <v>78</v>
      </c>
      <c r="E140" s="17" t="s">
        <v>1052</v>
      </c>
      <c r="F140" s="15" t="s">
        <v>130</v>
      </c>
      <c r="G140" s="15" t="s">
        <v>1053</v>
      </c>
      <c r="H140" s="15" t="s">
        <v>520</v>
      </c>
      <c r="I140" s="15" t="s">
        <v>1054</v>
      </c>
      <c r="J140" s="15"/>
      <c r="K140" s="18"/>
      <c r="L140" s="18"/>
      <c r="M140" s="15" t="s">
        <v>85</v>
      </c>
      <c r="N140" s="15"/>
      <c r="O140" s="15"/>
      <c r="P140" s="15"/>
      <c r="Q140" s="15"/>
      <c r="R140" s="15"/>
      <c r="S140" s="19" t="s">
        <v>89</v>
      </c>
      <c r="T140" s="15"/>
      <c r="U140" s="15"/>
      <c r="V140" s="15"/>
      <c r="W140" s="15" t="s">
        <v>534</v>
      </c>
      <c r="X140" s="15" t="s">
        <v>1055</v>
      </c>
      <c r="Y140" s="15"/>
      <c r="Z140" s="15" t="s">
        <v>669</v>
      </c>
      <c r="AA140" s="21" t="s">
        <v>94</v>
      </c>
      <c r="AB140" s="21" t="s">
        <v>94</v>
      </c>
      <c r="AC140" s="21" t="s">
        <v>94</v>
      </c>
      <c r="AD140" s="21" t="s">
        <v>94</v>
      </c>
      <c r="AE140" s="21" t="s">
        <v>94</v>
      </c>
      <c r="AF140" s="20" t="s">
        <v>93</v>
      </c>
      <c r="AG140" s="21" t="s">
        <v>94</v>
      </c>
      <c r="AH140" s="21" t="s">
        <v>94</v>
      </c>
      <c r="AI140" s="21" t="s">
        <v>94</v>
      </c>
    </row>
    <row r="141" customFormat="false" ht="57.75" hidden="false" customHeight="true" outlineLevel="0" collapsed="false">
      <c r="A141" s="22" t="n">
        <v>140</v>
      </c>
      <c r="B141" s="23" t="s">
        <v>76</v>
      </c>
      <c r="C141" s="22" t="s">
        <v>77</v>
      </c>
      <c r="D141" s="22" t="s">
        <v>78</v>
      </c>
      <c r="E141" s="24" t="s">
        <v>1056</v>
      </c>
      <c r="F141" s="22" t="s">
        <v>1057</v>
      </c>
      <c r="G141" s="22" t="s">
        <v>889</v>
      </c>
      <c r="H141" s="22" t="s">
        <v>520</v>
      </c>
      <c r="I141" s="22" t="s">
        <v>1058</v>
      </c>
      <c r="J141" s="22"/>
      <c r="K141" s="25"/>
      <c r="L141" s="25"/>
      <c r="M141" s="22" t="s">
        <v>85</v>
      </c>
      <c r="N141" s="19" t="s">
        <v>54</v>
      </c>
      <c r="O141" s="22"/>
      <c r="P141" s="22"/>
      <c r="Q141" s="22"/>
      <c r="R141" s="22"/>
      <c r="S141" s="19" t="s">
        <v>200</v>
      </c>
      <c r="T141" s="19" t="s">
        <v>633</v>
      </c>
      <c r="U141" s="19" t="s">
        <v>1059</v>
      </c>
      <c r="V141" s="22"/>
      <c r="W141" s="22" t="s">
        <v>1060</v>
      </c>
      <c r="X141" s="22"/>
      <c r="Y141" s="22"/>
      <c r="Z141" s="22" t="s">
        <v>143</v>
      </c>
      <c r="AA141" s="20" t="s">
        <v>93</v>
      </c>
      <c r="AB141" s="21" t="s">
        <v>94</v>
      </c>
      <c r="AC141" s="21" t="s">
        <v>94</v>
      </c>
      <c r="AD141" s="21" t="s">
        <v>94</v>
      </c>
      <c r="AE141" s="21" t="s">
        <v>94</v>
      </c>
      <c r="AF141" s="20" t="s">
        <v>93</v>
      </c>
      <c r="AG141" s="20" t="s">
        <v>93</v>
      </c>
      <c r="AH141" s="20" t="s">
        <v>93</v>
      </c>
      <c r="AI141" s="21" t="s">
        <v>94</v>
      </c>
    </row>
    <row r="142" customFormat="false" ht="57.75" hidden="false" customHeight="true" outlineLevel="0" collapsed="false">
      <c r="A142" s="15" t="n">
        <v>141</v>
      </c>
      <c r="B142" s="16" t="s">
        <v>76</v>
      </c>
      <c r="C142" s="15" t="s">
        <v>77</v>
      </c>
      <c r="D142" s="15" t="s">
        <v>78</v>
      </c>
      <c r="E142" s="17" t="s">
        <v>1061</v>
      </c>
      <c r="F142" s="15" t="s">
        <v>235</v>
      </c>
      <c r="G142" s="15" t="s">
        <v>889</v>
      </c>
      <c r="H142" s="15" t="s">
        <v>966</v>
      </c>
      <c r="I142" s="15" t="s">
        <v>844</v>
      </c>
      <c r="J142" s="15" t="s">
        <v>1062</v>
      </c>
      <c r="K142" s="18" t="n">
        <v>2599</v>
      </c>
      <c r="L142" s="18" t="n">
        <v>2599</v>
      </c>
      <c r="M142" s="15" t="s">
        <v>94</v>
      </c>
      <c r="N142" s="15"/>
      <c r="O142" s="15"/>
      <c r="P142" s="15"/>
      <c r="Q142" s="19" t="s">
        <v>1063</v>
      </c>
      <c r="R142" s="15"/>
      <c r="S142" s="15"/>
      <c r="T142" s="19" t="s">
        <v>633</v>
      </c>
      <c r="U142" s="19" t="s">
        <v>923</v>
      </c>
      <c r="V142" s="15"/>
      <c r="W142" s="15" t="s">
        <v>180</v>
      </c>
      <c r="X142" s="15"/>
      <c r="Y142" s="15"/>
      <c r="Z142" s="15" t="s">
        <v>547</v>
      </c>
      <c r="AA142" s="21" t="s">
        <v>94</v>
      </c>
      <c r="AB142" s="21" t="s">
        <v>94</v>
      </c>
      <c r="AC142" s="21" t="s">
        <v>94</v>
      </c>
      <c r="AD142" s="20" t="s">
        <v>93</v>
      </c>
      <c r="AE142" s="21" t="s">
        <v>94</v>
      </c>
      <c r="AF142" s="21" t="s">
        <v>94</v>
      </c>
      <c r="AG142" s="20" t="s">
        <v>93</v>
      </c>
      <c r="AH142" s="20" t="s">
        <v>93</v>
      </c>
      <c r="AI142" s="21" t="s">
        <v>94</v>
      </c>
    </row>
    <row r="143" customFormat="false" ht="57.75" hidden="false" customHeight="true" outlineLevel="0" collapsed="false">
      <c r="A143" s="22" t="n">
        <v>142</v>
      </c>
      <c r="B143" s="23" t="s">
        <v>76</v>
      </c>
      <c r="C143" s="22" t="s">
        <v>77</v>
      </c>
      <c r="D143" s="22" t="s">
        <v>78</v>
      </c>
      <c r="E143" s="24" t="s">
        <v>1064</v>
      </c>
      <c r="F143" s="22" t="s">
        <v>1065</v>
      </c>
      <c r="G143" s="22" t="s">
        <v>889</v>
      </c>
      <c r="H143" s="22" t="s">
        <v>227</v>
      </c>
      <c r="I143" s="22" t="s">
        <v>844</v>
      </c>
      <c r="J143" s="22"/>
      <c r="K143" s="25"/>
      <c r="L143" s="25"/>
      <c r="M143" s="22" t="s">
        <v>94</v>
      </c>
      <c r="N143" s="19" t="s">
        <v>54</v>
      </c>
      <c r="O143" s="22"/>
      <c r="P143" s="22"/>
      <c r="Q143" s="19" t="s">
        <v>1066</v>
      </c>
      <c r="R143" s="22"/>
      <c r="S143" s="19" t="s">
        <v>200</v>
      </c>
      <c r="T143" s="22"/>
      <c r="U143" s="22"/>
      <c r="V143" s="22"/>
      <c r="W143" s="22" t="s">
        <v>534</v>
      </c>
      <c r="X143" s="22"/>
      <c r="Y143" s="22"/>
      <c r="Z143" s="22" t="s">
        <v>669</v>
      </c>
      <c r="AA143" s="20" t="s">
        <v>93</v>
      </c>
      <c r="AB143" s="21" t="s">
        <v>94</v>
      </c>
      <c r="AC143" s="21" t="s">
        <v>94</v>
      </c>
      <c r="AD143" s="20" t="s">
        <v>93</v>
      </c>
      <c r="AE143" s="21" t="s">
        <v>94</v>
      </c>
      <c r="AF143" s="20" t="s">
        <v>93</v>
      </c>
      <c r="AG143" s="21" t="s">
        <v>94</v>
      </c>
      <c r="AH143" s="21" t="s">
        <v>94</v>
      </c>
      <c r="AI143" s="21" t="s">
        <v>94</v>
      </c>
    </row>
    <row r="144" customFormat="false" ht="57.75" hidden="false" customHeight="true" outlineLevel="0" collapsed="false">
      <c r="A144" s="15" t="n">
        <v>143</v>
      </c>
      <c r="B144" s="16" t="s">
        <v>76</v>
      </c>
      <c r="C144" s="15" t="s">
        <v>77</v>
      </c>
      <c r="D144" s="15" t="s">
        <v>78</v>
      </c>
      <c r="E144" s="17" t="s">
        <v>1067</v>
      </c>
      <c r="F144" s="15" t="s">
        <v>1068</v>
      </c>
      <c r="G144" s="15" t="s">
        <v>1069</v>
      </c>
      <c r="H144" s="15" t="s">
        <v>227</v>
      </c>
      <c r="I144" s="15" t="s">
        <v>1070</v>
      </c>
      <c r="J144" s="15"/>
      <c r="K144" s="18"/>
      <c r="L144" s="18"/>
      <c r="M144" s="15" t="s">
        <v>94</v>
      </c>
      <c r="N144" s="15"/>
      <c r="O144" s="15"/>
      <c r="P144" s="15"/>
      <c r="Q144" s="15"/>
      <c r="R144" s="15"/>
      <c r="S144" s="19" t="s">
        <v>89</v>
      </c>
      <c r="T144" s="19" t="s">
        <v>633</v>
      </c>
      <c r="U144" s="19" t="s">
        <v>1071</v>
      </c>
      <c r="V144" s="15"/>
      <c r="W144" s="15" t="s">
        <v>1072</v>
      </c>
      <c r="X144" s="15"/>
      <c r="Y144" s="15"/>
      <c r="Z144" s="15" t="s">
        <v>368</v>
      </c>
      <c r="AA144" s="21" t="s">
        <v>94</v>
      </c>
      <c r="AB144" s="21" t="s">
        <v>94</v>
      </c>
      <c r="AC144" s="21" t="s">
        <v>94</v>
      </c>
      <c r="AD144" s="21" t="s">
        <v>94</v>
      </c>
      <c r="AE144" s="21" t="s">
        <v>94</v>
      </c>
      <c r="AF144" s="20" t="s">
        <v>93</v>
      </c>
      <c r="AG144" s="20" t="s">
        <v>93</v>
      </c>
      <c r="AH144" s="20" t="s">
        <v>93</v>
      </c>
      <c r="AI144" s="21" t="s">
        <v>94</v>
      </c>
    </row>
    <row r="145" customFormat="false" ht="57.75" hidden="false" customHeight="true" outlineLevel="0" collapsed="false">
      <c r="A145" s="22" t="n">
        <v>144</v>
      </c>
      <c r="B145" s="23" t="s">
        <v>76</v>
      </c>
      <c r="C145" s="22" t="s">
        <v>77</v>
      </c>
      <c r="D145" s="22" t="s">
        <v>78</v>
      </c>
      <c r="E145" s="24" t="s">
        <v>1073</v>
      </c>
      <c r="F145" s="22" t="s">
        <v>1074</v>
      </c>
      <c r="G145" s="22" t="s">
        <v>1075</v>
      </c>
      <c r="H145" s="22" t="s">
        <v>227</v>
      </c>
      <c r="I145" s="22" t="s">
        <v>1076</v>
      </c>
      <c r="J145" s="22"/>
      <c r="K145" s="25"/>
      <c r="L145" s="25"/>
      <c r="M145" s="22" t="s">
        <v>94</v>
      </c>
      <c r="N145" s="22"/>
      <c r="O145" s="22"/>
      <c r="P145" s="22"/>
      <c r="Q145" s="22"/>
      <c r="R145" s="22"/>
      <c r="S145" s="22"/>
      <c r="T145" s="19" t="s">
        <v>633</v>
      </c>
      <c r="U145" s="22"/>
      <c r="V145" s="22"/>
      <c r="W145" s="22" t="s">
        <v>1077</v>
      </c>
      <c r="X145" s="22"/>
      <c r="Y145" s="22"/>
      <c r="Z145" s="22" t="s">
        <v>1078</v>
      </c>
      <c r="AA145" s="21" t="s">
        <v>94</v>
      </c>
      <c r="AB145" s="21" t="s">
        <v>94</v>
      </c>
      <c r="AC145" s="21" t="s">
        <v>94</v>
      </c>
      <c r="AD145" s="21" t="s">
        <v>94</v>
      </c>
      <c r="AE145" s="21" t="s">
        <v>94</v>
      </c>
      <c r="AF145" s="21" t="s">
        <v>94</v>
      </c>
      <c r="AG145" s="20" t="s">
        <v>93</v>
      </c>
      <c r="AH145" s="21" t="s">
        <v>94</v>
      </c>
      <c r="AI145" s="21" t="s">
        <v>94</v>
      </c>
    </row>
    <row r="146" customFormat="false" ht="57.75" hidden="false" customHeight="true" outlineLevel="0" collapsed="false">
      <c r="A146" s="15" t="n">
        <v>145</v>
      </c>
      <c r="B146" s="16" t="s">
        <v>76</v>
      </c>
      <c r="C146" s="15" t="s">
        <v>77</v>
      </c>
      <c r="D146" s="15" t="s">
        <v>78</v>
      </c>
      <c r="E146" s="17" t="s">
        <v>1079</v>
      </c>
      <c r="F146" s="15" t="s">
        <v>1080</v>
      </c>
      <c r="G146" s="15" t="s">
        <v>1081</v>
      </c>
      <c r="H146" s="15" t="s">
        <v>227</v>
      </c>
      <c r="I146" s="15" t="s">
        <v>1082</v>
      </c>
      <c r="J146" s="15"/>
      <c r="K146" s="18"/>
      <c r="L146" s="18"/>
      <c r="M146" s="15" t="s">
        <v>94</v>
      </c>
      <c r="N146" s="15"/>
      <c r="O146" s="15"/>
      <c r="P146" s="15"/>
      <c r="Q146" s="15"/>
      <c r="R146" s="15"/>
      <c r="S146" s="15"/>
      <c r="T146" s="15"/>
      <c r="U146" s="15"/>
      <c r="V146" s="15"/>
      <c r="W146" s="15" t="s">
        <v>1083</v>
      </c>
      <c r="X146" s="15"/>
      <c r="Y146" s="15"/>
      <c r="Z146" s="15" t="s">
        <v>1084</v>
      </c>
      <c r="AA146" s="21" t="s">
        <v>94</v>
      </c>
      <c r="AB146" s="21" t="s">
        <v>94</v>
      </c>
      <c r="AC146" s="21" t="s">
        <v>94</v>
      </c>
      <c r="AD146" s="21" t="s">
        <v>94</v>
      </c>
      <c r="AE146" s="21" t="s">
        <v>94</v>
      </c>
      <c r="AF146" s="21" t="s">
        <v>94</v>
      </c>
      <c r="AG146" s="21" t="s">
        <v>94</v>
      </c>
      <c r="AH146" s="21" t="s">
        <v>94</v>
      </c>
      <c r="AI146" s="21" t="s">
        <v>94</v>
      </c>
    </row>
    <row r="147" customFormat="false" ht="57.75" hidden="false" customHeight="true" outlineLevel="0" collapsed="false">
      <c r="A147" s="22" t="n">
        <v>146</v>
      </c>
      <c r="B147" s="23" t="s">
        <v>76</v>
      </c>
      <c r="C147" s="22" t="s">
        <v>77</v>
      </c>
      <c r="D147" s="22" t="s">
        <v>78</v>
      </c>
      <c r="E147" s="24" t="s">
        <v>1085</v>
      </c>
      <c r="F147" s="22" t="s">
        <v>1086</v>
      </c>
      <c r="G147" s="22" t="s">
        <v>1087</v>
      </c>
      <c r="H147" s="22" t="s">
        <v>520</v>
      </c>
      <c r="I147" s="22" t="s">
        <v>1088</v>
      </c>
      <c r="J147" s="22" t="s">
        <v>1089</v>
      </c>
      <c r="K147" s="25" t="n">
        <v>3030</v>
      </c>
      <c r="L147" s="25" t="n">
        <v>6368</v>
      </c>
      <c r="M147" s="22" t="s">
        <v>85</v>
      </c>
      <c r="N147" s="22"/>
      <c r="O147" s="22"/>
      <c r="P147" s="22"/>
      <c r="Q147" s="22"/>
      <c r="R147" s="22"/>
      <c r="S147" s="22"/>
      <c r="T147" s="22"/>
      <c r="U147" s="22"/>
      <c r="V147" s="22"/>
      <c r="W147" s="22" t="s">
        <v>534</v>
      </c>
      <c r="X147" s="22"/>
      <c r="Y147" s="22"/>
      <c r="Z147" s="22" t="s">
        <v>764</v>
      </c>
      <c r="AA147" s="21" t="s">
        <v>94</v>
      </c>
      <c r="AB147" s="21" t="s">
        <v>94</v>
      </c>
      <c r="AC147" s="21" t="s">
        <v>94</v>
      </c>
      <c r="AD147" s="21" t="s">
        <v>94</v>
      </c>
      <c r="AE147" s="21" t="s">
        <v>94</v>
      </c>
      <c r="AF147" s="21" t="s">
        <v>94</v>
      </c>
      <c r="AG147" s="21" t="s">
        <v>94</v>
      </c>
      <c r="AH147" s="21" t="s">
        <v>94</v>
      </c>
      <c r="AI147" s="21" t="s">
        <v>94</v>
      </c>
    </row>
    <row r="148" customFormat="false" ht="57.75" hidden="false" customHeight="true" outlineLevel="0" collapsed="false">
      <c r="A148" s="15" t="n">
        <v>147</v>
      </c>
      <c r="B148" s="16" t="s">
        <v>76</v>
      </c>
      <c r="C148" s="15" t="s">
        <v>77</v>
      </c>
      <c r="D148" s="15" t="s">
        <v>78</v>
      </c>
      <c r="E148" s="17" t="s">
        <v>1090</v>
      </c>
      <c r="F148" s="15" t="s">
        <v>1091</v>
      </c>
      <c r="G148" s="15" t="s">
        <v>1092</v>
      </c>
      <c r="H148" s="15" t="s">
        <v>227</v>
      </c>
      <c r="I148" s="15" t="s">
        <v>1093</v>
      </c>
      <c r="J148" s="15"/>
      <c r="K148" s="18"/>
      <c r="L148" s="18"/>
      <c r="M148" s="15" t="s">
        <v>94</v>
      </c>
      <c r="N148" s="15"/>
      <c r="O148" s="15"/>
      <c r="P148" s="15"/>
      <c r="Q148" s="15"/>
      <c r="R148" s="15"/>
      <c r="S148" s="15"/>
      <c r="T148" s="15"/>
      <c r="U148" s="15"/>
      <c r="V148" s="15"/>
      <c r="W148" s="15" t="s">
        <v>534</v>
      </c>
      <c r="X148" s="15"/>
      <c r="Y148" s="15"/>
      <c r="Z148" s="15" t="s">
        <v>169</v>
      </c>
      <c r="AA148" s="21" t="s">
        <v>94</v>
      </c>
      <c r="AB148" s="21" t="s">
        <v>94</v>
      </c>
      <c r="AC148" s="21" t="s">
        <v>94</v>
      </c>
      <c r="AD148" s="21" t="s">
        <v>94</v>
      </c>
      <c r="AE148" s="21" t="s">
        <v>94</v>
      </c>
      <c r="AF148" s="21" t="s">
        <v>94</v>
      </c>
      <c r="AG148" s="21" t="s">
        <v>94</v>
      </c>
      <c r="AH148" s="21" t="s">
        <v>94</v>
      </c>
      <c r="AI148" s="21" t="s">
        <v>94</v>
      </c>
    </row>
    <row r="149" customFormat="false" ht="57.75" hidden="false" customHeight="true" outlineLevel="0" collapsed="false">
      <c r="A149" s="22" t="n">
        <v>148</v>
      </c>
      <c r="B149" s="23" t="s">
        <v>76</v>
      </c>
      <c r="C149" s="22" t="s">
        <v>77</v>
      </c>
      <c r="D149" s="22" t="s">
        <v>78</v>
      </c>
      <c r="E149" s="24" t="s">
        <v>1094</v>
      </c>
      <c r="F149" s="22" t="s">
        <v>1095</v>
      </c>
      <c r="G149" s="22" t="s">
        <v>1092</v>
      </c>
      <c r="H149" s="22" t="s">
        <v>82</v>
      </c>
      <c r="I149" s="22" t="s">
        <v>571</v>
      </c>
      <c r="J149" s="22"/>
      <c r="K149" s="25"/>
      <c r="L149" s="25"/>
      <c r="M149" s="22" t="s">
        <v>99</v>
      </c>
      <c r="N149" s="22"/>
      <c r="O149" s="22"/>
      <c r="P149" s="22"/>
      <c r="Q149" s="22"/>
      <c r="R149" s="22"/>
      <c r="S149" s="22"/>
      <c r="T149" s="22"/>
      <c r="U149" s="22"/>
      <c r="V149" s="22"/>
      <c r="W149" s="22" t="s">
        <v>1096</v>
      </c>
      <c r="X149" s="22"/>
      <c r="Y149" s="22"/>
      <c r="Z149" s="22" t="s">
        <v>595</v>
      </c>
      <c r="AA149" s="21" t="s">
        <v>94</v>
      </c>
      <c r="AB149" s="21" t="s">
        <v>94</v>
      </c>
      <c r="AC149" s="21" t="s">
        <v>94</v>
      </c>
      <c r="AD149" s="21" t="s">
        <v>94</v>
      </c>
      <c r="AE149" s="21" t="s">
        <v>94</v>
      </c>
      <c r="AF149" s="21" t="s">
        <v>94</v>
      </c>
      <c r="AG149" s="21" t="s">
        <v>94</v>
      </c>
      <c r="AH149" s="21" t="s">
        <v>94</v>
      </c>
      <c r="AI149" s="21" t="s">
        <v>94</v>
      </c>
    </row>
    <row r="150" customFormat="false" ht="57.75" hidden="false" customHeight="true" outlineLevel="0" collapsed="false">
      <c r="A150" s="15" t="n">
        <v>149</v>
      </c>
      <c r="B150" s="16" t="s">
        <v>76</v>
      </c>
      <c r="C150" s="15" t="s">
        <v>77</v>
      </c>
      <c r="D150" s="15" t="s">
        <v>78</v>
      </c>
      <c r="E150" s="17" t="s">
        <v>1097</v>
      </c>
      <c r="F150" s="15" t="s">
        <v>1098</v>
      </c>
      <c r="G150" s="15" t="s">
        <v>1087</v>
      </c>
      <c r="H150" s="15" t="s">
        <v>263</v>
      </c>
      <c r="I150" s="15" t="s">
        <v>1099</v>
      </c>
      <c r="J150" s="15" t="s">
        <v>1100</v>
      </c>
      <c r="K150" s="18" t="n">
        <v>3465</v>
      </c>
      <c r="L150" s="18" t="n">
        <v>3635</v>
      </c>
      <c r="M150" s="15" t="s">
        <v>94</v>
      </c>
      <c r="N150" s="19" t="s">
        <v>54</v>
      </c>
      <c r="O150" s="15"/>
      <c r="P150" s="15"/>
      <c r="Q150" s="15"/>
      <c r="R150" s="15"/>
      <c r="S150" s="19" t="s">
        <v>89</v>
      </c>
      <c r="T150" s="15"/>
      <c r="U150" s="15"/>
      <c r="V150" s="15"/>
      <c r="W150" s="15" t="s">
        <v>1101</v>
      </c>
      <c r="X150" s="15"/>
      <c r="Y150" s="15"/>
      <c r="Z150" s="15" t="s">
        <v>669</v>
      </c>
      <c r="AA150" s="20" t="s">
        <v>93</v>
      </c>
      <c r="AB150" s="21" t="s">
        <v>94</v>
      </c>
      <c r="AC150" s="21" t="s">
        <v>94</v>
      </c>
      <c r="AD150" s="21" t="s">
        <v>94</v>
      </c>
      <c r="AE150" s="21" t="s">
        <v>94</v>
      </c>
      <c r="AF150" s="20" t="s">
        <v>93</v>
      </c>
      <c r="AG150" s="21" t="s">
        <v>94</v>
      </c>
      <c r="AH150" s="21" t="s">
        <v>94</v>
      </c>
      <c r="AI150" s="21" t="s">
        <v>94</v>
      </c>
    </row>
    <row r="151" customFormat="false" ht="57.75" hidden="false" customHeight="true" outlineLevel="0" collapsed="false">
      <c r="A151" s="22" t="n">
        <v>150</v>
      </c>
      <c r="B151" s="23" t="s">
        <v>76</v>
      </c>
      <c r="C151" s="22" t="s">
        <v>77</v>
      </c>
      <c r="D151" s="22" t="s">
        <v>78</v>
      </c>
      <c r="E151" s="24" t="s">
        <v>1102</v>
      </c>
      <c r="F151" s="22" t="s">
        <v>1103</v>
      </c>
      <c r="G151" s="22" t="s">
        <v>1087</v>
      </c>
      <c r="H151" s="22" t="s">
        <v>520</v>
      </c>
      <c r="I151" s="22" t="s">
        <v>1104</v>
      </c>
      <c r="J151" s="22" t="s">
        <v>1105</v>
      </c>
      <c r="K151" s="25"/>
      <c r="L151" s="25"/>
      <c r="M151" s="22" t="s">
        <v>85</v>
      </c>
      <c r="N151" s="19" t="s">
        <v>54</v>
      </c>
      <c r="O151" s="22"/>
      <c r="P151" s="19" t="s">
        <v>1106</v>
      </c>
      <c r="Q151" s="19" t="s">
        <v>395</v>
      </c>
      <c r="R151" s="22"/>
      <c r="S151" s="19" t="s">
        <v>89</v>
      </c>
      <c r="T151" s="22"/>
      <c r="U151" s="19" t="s">
        <v>90</v>
      </c>
      <c r="V151" s="22"/>
      <c r="W151" s="22" t="s">
        <v>647</v>
      </c>
      <c r="X151" s="22"/>
      <c r="Y151" s="22"/>
      <c r="Z151" s="22" t="s">
        <v>128</v>
      </c>
      <c r="AA151" s="20" t="s">
        <v>93</v>
      </c>
      <c r="AB151" s="21" t="s">
        <v>94</v>
      </c>
      <c r="AC151" s="20" t="s">
        <v>93</v>
      </c>
      <c r="AD151" s="20" t="s">
        <v>93</v>
      </c>
      <c r="AE151" s="21" t="s">
        <v>94</v>
      </c>
      <c r="AF151" s="20" t="s">
        <v>93</v>
      </c>
      <c r="AG151" s="21" t="s">
        <v>94</v>
      </c>
      <c r="AH151" s="20" t="s">
        <v>93</v>
      </c>
      <c r="AI151" s="21" t="s">
        <v>94</v>
      </c>
    </row>
    <row r="152" customFormat="false" ht="57.75" hidden="false" customHeight="true" outlineLevel="0" collapsed="false">
      <c r="A152" s="15" t="n">
        <v>151</v>
      </c>
      <c r="B152" s="16" t="s">
        <v>76</v>
      </c>
      <c r="C152" s="15" t="s">
        <v>77</v>
      </c>
      <c r="D152" s="15" t="s">
        <v>78</v>
      </c>
      <c r="E152" s="17" t="s">
        <v>1107</v>
      </c>
      <c r="F152" s="15" t="s">
        <v>1108</v>
      </c>
      <c r="G152" s="15" t="s">
        <v>1087</v>
      </c>
      <c r="H152" s="15" t="s">
        <v>817</v>
      </c>
      <c r="I152" s="15" t="s">
        <v>1109</v>
      </c>
      <c r="J152" s="15" t="s">
        <v>1110</v>
      </c>
      <c r="K152" s="18" t="n">
        <v>4905</v>
      </c>
      <c r="L152" s="18" t="n">
        <v>6025</v>
      </c>
      <c r="M152" s="15" t="s">
        <v>85</v>
      </c>
      <c r="N152" s="19" t="s">
        <v>54</v>
      </c>
      <c r="O152" s="15"/>
      <c r="P152" s="26" t="s">
        <v>1111</v>
      </c>
      <c r="Q152" s="19" t="s">
        <v>755</v>
      </c>
      <c r="R152" s="15"/>
      <c r="S152" s="19" t="s">
        <v>1112</v>
      </c>
      <c r="T152" s="19" t="s">
        <v>633</v>
      </c>
      <c r="U152" s="19" t="s">
        <v>923</v>
      </c>
      <c r="V152" s="15"/>
      <c r="W152" s="15" t="s">
        <v>1113</v>
      </c>
      <c r="X152" s="15"/>
      <c r="Y152" s="15"/>
      <c r="Z152" s="15" t="s">
        <v>857</v>
      </c>
      <c r="AA152" s="20" t="s">
        <v>93</v>
      </c>
      <c r="AB152" s="21" t="s">
        <v>94</v>
      </c>
      <c r="AC152" s="27" t="s">
        <v>213</v>
      </c>
      <c r="AD152" s="20" t="s">
        <v>93</v>
      </c>
      <c r="AE152" s="21" t="s">
        <v>94</v>
      </c>
      <c r="AF152" s="20" t="s">
        <v>93</v>
      </c>
      <c r="AG152" s="20" t="s">
        <v>93</v>
      </c>
      <c r="AH152" s="20" t="s">
        <v>93</v>
      </c>
      <c r="AI152" s="21" t="s">
        <v>94</v>
      </c>
    </row>
    <row r="153" customFormat="false" ht="57.75" hidden="false" customHeight="true" outlineLevel="0" collapsed="false">
      <c r="A153" s="22" t="n">
        <v>152</v>
      </c>
      <c r="B153" s="23" t="s">
        <v>76</v>
      </c>
      <c r="C153" s="22" t="s">
        <v>77</v>
      </c>
      <c r="D153" s="22" t="s">
        <v>78</v>
      </c>
      <c r="E153" s="24" t="s">
        <v>1114</v>
      </c>
      <c r="F153" s="22" t="s">
        <v>1115</v>
      </c>
      <c r="G153" s="22" t="s">
        <v>1087</v>
      </c>
      <c r="H153" s="22" t="s">
        <v>520</v>
      </c>
      <c r="I153" s="22" t="s">
        <v>1116</v>
      </c>
      <c r="J153" s="22"/>
      <c r="K153" s="25"/>
      <c r="L153" s="25"/>
      <c r="M153" s="22" t="s">
        <v>85</v>
      </c>
      <c r="N153" s="22"/>
      <c r="O153" s="22"/>
      <c r="P153" s="22"/>
      <c r="Q153" s="22"/>
      <c r="R153" s="22"/>
      <c r="S153" s="26" t="s">
        <v>1117</v>
      </c>
      <c r="T153" s="22"/>
      <c r="U153" s="22"/>
      <c r="V153" s="22"/>
      <c r="W153" s="22" t="s">
        <v>612</v>
      </c>
      <c r="X153" s="22"/>
      <c r="Y153" s="22"/>
      <c r="Z153" s="22" t="s">
        <v>383</v>
      </c>
      <c r="AA153" s="21" t="s">
        <v>94</v>
      </c>
      <c r="AB153" s="21" t="s">
        <v>94</v>
      </c>
      <c r="AC153" s="21" t="s">
        <v>94</v>
      </c>
      <c r="AD153" s="21" t="s">
        <v>94</v>
      </c>
      <c r="AE153" s="21" t="s">
        <v>94</v>
      </c>
      <c r="AF153" s="27" t="s">
        <v>213</v>
      </c>
      <c r="AG153" s="21" t="s">
        <v>94</v>
      </c>
      <c r="AH153" s="21" t="s">
        <v>94</v>
      </c>
      <c r="AI153" s="21" t="s">
        <v>94</v>
      </c>
    </row>
    <row r="154" customFormat="false" ht="57.75" hidden="false" customHeight="true" outlineLevel="0" collapsed="false">
      <c r="A154" s="15" t="n">
        <v>153</v>
      </c>
      <c r="B154" s="16" t="s">
        <v>76</v>
      </c>
      <c r="C154" s="15" t="s">
        <v>77</v>
      </c>
      <c r="D154" s="15" t="s">
        <v>78</v>
      </c>
      <c r="E154" s="17" t="s">
        <v>1118</v>
      </c>
      <c r="F154" s="15" t="s">
        <v>1119</v>
      </c>
      <c r="G154" s="15" t="s">
        <v>1087</v>
      </c>
      <c r="H154" s="15" t="s">
        <v>82</v>
      </c>
      <c r="I154" s="15" t="s">
        <v>658</v>
      </c>
      <c r="J154" s="15"/>
      <c r="K154" s="18"/>
      <c r="L154" s="18"/>
      <c r="M154" s="15" t="s">
        <v>99</v>
      </c>
      <c r="N154" s="15"/>
      <c r="O154" s="15"/>
      <c r="P154" s="15"/>
      <c r="Q154" s="15"/>
      <c r="R154" s="15"/>
      <c r="S154" s="15"/>
      <c r="T154" s="15"/>
      <c r="U154" s="15"/>
      <c r="V154" s="15"/>
      <c r="W154" s="15" t="s">
        <v>180</v>
      </c>
      <c r="X154" s="15"/>
      <c r="Y154" s="15"/>
      <c r="Z154" s="15" t="s">
        <v>906</v>
      </c>
      <c r="AA154" s="21" t="s">
        <v>94</v>
      </c>
      <c r="AB154" s="21" t="s">
        <v>94</v>
      </c>
      <c r="AC154" s="21" t="s">
        <v>94</v>
      </c>
      <c r="AD154" s="21" t="s">
        <v>94</v>
      </c>
      <c r="AE154" s="21" t="s">
        <v>94</v>
      </c>
      <c r="AF154" s="21" t="s">
        <v>94</v>
      </c>
      <c r="AG154" s="21" t="s">
        <v>94</v>
      </c>
      <c r="AH154" s="21" t="s">
        <v>94</v>
      </c>
      <c r="AI154" s="21" t="s">
        <v>94</v>
      </c>
    </row>
    <row r="155" customFormat="false" ht="57.75" hidden="false" customHeight="true" outlineLevel="0" collapsed="false">
      <c r="A155" s="22" t="n">
        <v>154</v>
      </c>
      <c r="B155" s="23" t="s">
        <v>76</v>
      </c>
      <c r="C155" s="22" t="s">
        <v>77</v>
      </c>
      <c r="D155" s="22" t="s">
        <v>78</v>
      </c>
      <c r="E155" s="24" t="s">
        <v>1120</v>
      </c>
      <c r="F155" s="22" t="s">
        <v>1121</v>
      </c>
      <c r="G155" s="22" t="s">
        <v>1092</v>
      </c>
      <c r="H155" s="22" t="s">
        <v>263</v>
      </c>
      <c r="I155" s="22" t="s">
        <v>1122</v>
      </c>
      <c r="J155" s="22" t="s">
        <v>1123</v>
      </c>
      <c r="K155" s="25" t="n">
        <v>3795</v>
      </c>
      <c r="L155" s="25" t="n">
        <v>3795</v>
      </c>
      <c r="M155" s="22" t="s">
        <v>94</v>
      </c>
      <c r="N155" s="19" t="s">
        <v>54</v>
      </c>
      <c r="O155" s="22"/>
      <c r="P155" s="22"/>
      <c r="Q155" s="19" t="s">
        <v>1124</v>
      </c>
      <c r="R155" s="22"/>
      <c r="S155" s="19" t="s">
        <v>1125</v>
      </c>
      <c r="T155" s="22"/>
      <c r="U155" s="19" t="s">
        <v>1126</v>
      </c>
      <c r="V155" s="22"/>
      <c r="W155" s="22" t="s">
        <v>700</v>
      </c>
      <c r="X155" s="22"/>
      <c r="Y155" s="22"/>
      <c r="Z155" s="22" t="s">
        <v>654</v>
      </c>
      <c r="AA155" s="20" t="s">
        <v>93</v>
      </c>
      <c r="AB155" s="21" t="s">
        <v>94</v>
      </c>
      <c r="AC155" s="21" t="s">
        <v>94</v>
      </c>
      <c r="AD155" s="20" t="s">
        <v>93</v>
      </c>
      <c r="AE155" s="21" t="s">
        <v>94</v>
      </c>
      <c r="AF155" s="20" t="s">
        <v>93</v>
      </c>
      <c r="AG155" s="21" t="s">
        <v>94</v>
      </c>
      <c r="AH155" s="20" t="s">
        <v>93</v>
      </c>
      <c r="AI155" s="21" t="s">
        <v>94</v>
      </c>
    </row>
    <row r="156" customFormat="false" ht="57.75" hidden="false" customHeight="true" outlineLevel="0" collapsed="false">
      <c r="A156" s="15" t="n">
        <v>155</v>
      </c>
      <c r="B156" s="16" t="s">
        <v>76</v>
      </c>
      <c r="C156" s="15" t="s">
        <v>77</v>
      </c>
      <c r="D156" s="15" t="s">
        <v>78</v>
      </c>
      <c r="E156" s="17" t="s">
        <v>1127</v>
      </c>
      <c r="F156" s="15" t="s">
        <v>1128</v>
      </c>
      <c r="G156" s="15" t="s">
        <v>1129</v>
      </c>
      <c r="H156" s="15" t="s">
        <v>227</v>
      </c>
      <c r="I156" s="15" t="s">
        <v>1130</v>
      </c>
      <c r="J156" s="15"/>
      <c r="K156" s="18"/>
      <c r="L156" s="18"/>
      <c r="M156" s="15" t="s">
        <v>94</v>
      </c>
      <c r="N156" s="19" t="s">
        <v>54</v>
      </c>
      <c r="O156" s="15"/>
      <c r="P156" s="15"/>
      <c r="Q156" s="15"/>
      <c r="R156" s="15"/>
      <c r="S156" s="15"/>
      <c r="T156" s="19" t="s">
        <v>1131</v>
      </c>
      <c r="U156" s="19" t="s">
        <v>1132</v>
      </c>
      <c r="V156" s="15"/>
      <c r="W156" s="15" t="s">
        <v>1133</v>
      </c>
      <c r="X156" s="15"/>
      <c r="Y156" s="15"/>
      <c r="Z156" s="15" t="s">
        <v>654</v>
      </c>
      <c r="AA156" s="20" t="s">
        <v>93</v>
      </c>
      <c r="AB156" s="21" t="s">
        <v>94</v>
      </c>
      <c r="AC156" s="21" t="s">
        <v>94</v>
      </c>
      <c r="AD156" s="21" t="s">
        <v>94</v>
      </c>
      <c r="AE156" s="21" t="s">
        <v>94</v>
      </c>
      <c r="AF156" s="21" t="s">
        <v>94</v>
      </c>
      <c r="AG156" s="20" t="s">
        <v>93</v>
      </c>
      <c r="AH156" s="20" t="s">
        <v>93</v>
      </c>
      <c r="AI156" s="21" t="s">
        <v>94</v>
      </c>
    </row>
    <row r="157" customFormat="false" ht="57.75" hidden="false" customHeight="true" outlineLevel="0" collapsed="false">
      <c r="A157" s="22" t="n">
        <v>156</v>
      </c>
      <c r="B157" s="23" t="s">
        <v>76</v>
      </c>
      <c r="C157" s="22" t="s">
        <v>77</v>
      </c>
      <c r="D157" s="22" t="s">
        <v>78</v>
      </c>
      <c r="E157" s="24" t="s">
        <v>1134</v>
      </c>
      <c r="F157" s="22" t="s">
        <v>1135</v>
      </c>
      <c r="G157" s="22" t="s">
        <v>1129</v>
      </c>
      <c r="H157" s="22" t="s">
        <v>82</v>
      </c>
      <c r="I157" s="22" t="s">
        <v>1136</v>
      </c>
      <c r="J157" s="22"/>
      <c r="K157" s="25"/>
      <c r="L157" s="25"/>
      <c r="M157" s="22" t="s">
        <v>99</v>
      </c>
      <c r="N157" s="22"/>
      <c r="O157" s="22"/>
      <c r="P157" s="22"/>
      <c r="Q157" s="22"/>
      <c r="R157" s="22"/>
      <c r="S157" s="22"/>
      <c r="T157" s="22"/>
      <c r="U157" s="22"/>
      <c r="V157" s="22"/>
      <c r="W157" s="22"/>
      <c r="X157" s="22" t="s">
        <v>624</v>
      </c>
      <c r="Y157" s="22"/>
      <c r="Z157" s="22" t="s">
        <v>212</v>
      </c>
      <c r="AA157" s="21" t="s">
        <v>94</v>
      </c>
      <c r="AB157" s="21" t="s">
        <v>94</v>
      </c>
      <c r="AC157" s="21" t="s">
        <v>94</v>
      </c>
      <c r="AD157" s="21" t="s">
        <v>94</v>
      </c>
      <c r="AE157" s="21" t="s">
        <v>94</v>
      </c>
      <c r="AF157" s="21" t="s">
        <v>94</v>
      </c>
      <c r="AG157" s="21" t="s">
        <v>94</v>
      </c>
      <c r="AH157" s="21" t="s">
        <v>94</v>
      </c>
      <c r="AI157" s="21" t="s">
        <v>94</v>
      </c>
    </row>
    <row r="158" customFormat="false" ht="57.75" hidden="false" customHeight="true" outlineLevel="0" collapsed="false">
      <c r="A158" s="15" t="n">
        <v>157</v>
      </c>
      <c r="B158" s="16" t="s">
        <v>76</v>
      </c>
      <c r="C158" s="15" t="s">
        <v>77</v>
      </c>
      <c r="D158" s="15" t="s">
        <v>78</v>
      </c>
      <c r="E158" s="17" t="s">
        <v>1137</v>
      </c>
      <c r="F158" s="15" t="s">
        <v>1138</v>
      </c>
      <c r="G158" s="15" t="s">
        <v>1129</v>
      </c>
      <c r="H158" s="15" t="s">
        <v>263</v>
      </c>
      <c r="I158" s="15" t="s">
        <v>1139</v>
      </c>
      <c r="J158" s="15" t="s">
        <v>1140</v>
      </c>
      <c r="K158" s="18" t="n">
        <v>3150</v>
      </c>
      <c r="L158" s="18" t="n">
        <v>3150</v>
      </c>
      <c r="M158" s="15" t="s">
        <v>94</v>
      </c>
      <c r="N158" s="19" t="s">
        <v>54</v>
      </c>
      <c r="O158" s="15"/>
      <c r="P158" s="19" t="s">
        <v>531</v>
      </c>
      <c r="Q158" s="15"/>
      <c r="R158" s="15"/>
      <c r="S158" s="19" t="s">
        <v>328</v>
      </c>
      <c r="T158" s="15"/>
      <c r="U158" s="19" t="s">
        <v>1141</v>
      </c>
      <c r="V158" s="15"/>
      <c r="W158" s="15" t="s">
        <v>180</v>
      </c>
      <c r="X158" s="15"/>
      <c r="Y158" s="15"/>
      <c r="Z158" s="15" t="s">
        <v>588</v>
      </c>
      <c r="AA158" s="20" t="s">
        <v>93</v>
      </c>
      <c r="AB158" s="21" t="s">
        <v>94</v>
      </c>
      <c r="AC158" s="20" t="s">
        <v>93</v>
      </c>
      <c r="AD158" s="21" t="s">
        <v>94</v>
      </c>
      <c r="AE158" s="21" t="s">
        <v>94</v>
      </c>
      <c r="AF158" s="20" t="s">
        <v>93</v>
      </c>
      <c r="AG158" s="21" t="s">
        <v>94</v>
      </c>
      <c r="AH158" s="20" t="s">
        <v>93</v>
      </c>
      <c r="AI158" s="21" t="s">
        <v>94</v>
      </c>
    </row>
    <row r="159" customFormat="false" ht="57.75" hidden="false" customHeight="true" outlineLevel="0" collapsed="false">
      <c r="A159" s="22" t="n">
        <v>158</v>
      </c>
      <c r="B159" s="23" t="s">
        <v>76</v>
      </c>
      <c r="C159" s="22" t="s">
        <v>77</v>
      </c>
      <c r="D159" s="22" t="s">
        <v>78</v>
      </c>
      <c r="E159" s="24" t="s">
        <v>1142</v>
      </c>
      <c r="F159" s="22" t="s">
        <v>1091</v>
      </c>
      <c r="G159" s="22" t="s">
        <v>1129</v>
      </c>
      <c r="H159" s="22" t="s">
        <v>227</v>
      </c>
      <c r="I159" s="22" t="s">
        <v>1143</v>
      </c>
      <c r="J159" s="22"/>
      <c r="K159" s="25"/>
      <c r="L159" s="25"/>
      <c r="M159" s="22" t="s">
        <v>94</v>
      </c>
      <c r="N159" s="19" t="s">
        <v>54</v>
      </c>
      <c r="O159" s="22"/>
      <c r="P159" s="19" t="s">
        <v>1144</v>
      </c>
      <c r="Q159" s="22"/>
      <c r="R159" s="22"/>
      <c r="S159" s="22"/>
      <c r="T159" s="22"/>
      <c r="U159" s="19" t="s">
        <v>1141</v>
      </c>
      <c r="V159" s="22"/>
      <c r="W159" s="22" t="s">
        <v>1145</v>
      </c>
      <c r="X159" s="22"/>
      <c r="Y159" s="22"/>
      <c r="Z159" s="22" t="s">
        <v>669</v>
      </c>
      <c r="AA159" s="20" t="s">
        <v>93</v>
      </c>
      <c r="AB159" s="21" t="s">
        <v>94</v>
      </c>
      <c r="AC159" s="20" t="s">
        <v>93</v>
      </c>
      <c r="AD159" s="21" t="s">
        <v>94</v>
      </c>
      <c r="AE159" s="21" t="s">
        <v>94</v>
      </c>
      <c r="AF159" s="21" t="s">
        <v>94</v>
      </c>
      <c r="AG159" s="21" t="s">
        <v>94</v>
      </c>
      <c r="AH159" s="20" t="s">
        <v>93</v>
      </c>
      <c r="AI159" s="21" t="s">
        <v>94</v>
      </c>
    </row>
    <row r="160" customFormat="false" ht="57.75" hidden="false" customHeight="true" outlineLevel="0" collapsed="false">
      <c r="A160" s="15" t="n">
        <v>159</v>
      </c>
      <c r="B160" s="16" t="s">
        <v>76</v>
      </c>
      <c r="C160" s="15" t="s">
        <v>77</v>
      </c>
      <c r="D160" s="15" t="s">
        <v>78</v>
      </c>
      <c r="E160" s="17" t="s">
        <v>1146</v>
      </c>
      <c r="F160" s="15" t="s">
        <v>1147</v>
      </c>
      <c r="G160" s="15" t="s">
        <v>1148</v>
      </c>
      <c r="H160" s="15" t="s">
        <v>520</v>
      </c>
      <c r="I160" s="15" t="s">
        <v>1149</v>
      </c>
      <c r="J160" s="15"/>
      <c r="K160" s="18"/>
      <c r="L160" s="18"/>
      <c r="M160" s="15" t="s">
        <v>85</v>
      </c>
      <c r="N160" s="15"/>
      <c r="O160" s="15"/>
      <c r="P160" s="19" t="s">
        <v>1150</v>
      </c>
      <c r="Q160" s="19" t="s">
        <v>1151</v>
      </c>
      <c r="R160" s="15"/>
      <c r="S160" s="19" t="s">
        <v>1152</v>
      </c>
      <c r="T160" s="19" t="s">
        <v>633</v>
      </c>
      <c r="U160" s="19" t="s">
        <v>1153</v>
      </c>
      <c r="V160" s="15"/>
      <c r="W160" s="15" t="s">
        <v>534</v>
      </c>
      <c r="X160" s="15"/>
      <c r="Y160" s="15"/>
      <c r="Z160" s="15" t="s">
        <v>1154</v>
      </c>
      <c r="AA160" s="21" t="s">
        <v>94</v>
      </c>
      <c r="AB160" s="21" t="s">
        <v>94</v>
      </c>
      <c r="AC160" s="20" t="s">
        <v>93</v>
      </c>
      <c r="AD160" s="20" t="s">
        <v>93</v>
      </c>
      <c r="AE160" s="21" t="s">
        <v>94</v>
      </c>
      <c r="AF160" s="20" t="s">
        <v>93</v>
      </c>
      <c r="AG160" s="20" t="s">
        <v>93</v>
      </c>
      <c r="AH160" s="20" t="s">
        <v>93</v>
      </c>
      <c r="AI160" s="21" t="s">
        <v>94</v>
      </c>
    </row>
    <row r="161" customFormat="false" ht="57.75" hidden="false" customHeight="true" outlineLevel="0" collapsed="false">
      <c r="A161" s="22" t="n">
        <v>160</v>
      </c>
      <c r="B161" s="23" t="s">
        <v>76</v>
      </c>
      <c r="C161" s="22" t="s">
        <v>77</v>
      </c>
      <c r="D161" s="22" t="s">
        <v>78</v>
      </c>
      <c r="E161" s="24" t="s">
        <v>1155</v>
      </c>
      <c r="F161" s="22" t="s">
        <v>1029</v>
      </c>
      <c r="G161" s="22" t="s">
        <v>1148</v>
      </c>
      <c r="H161" s="22" t="s">
        <v>520</v>
      </c>
      <c r="I161" s="22" t="s">
        <v>1156</v>
      </c>
      <c r="J161" s="22" t="s">
        <v>1157</v>
      </c>
      <c r="K161" s="25" t="n">
        <v>2850</v>
      </c>
      <c r="L161" s="25" t="n">
        <v>2850</v>
      </c>
      <c r="M161" s="22" t="s">
        <v>85</v>
      </c>
      <c r="N161" s="19" t="s">
        <v>54</v>
      </c>
      <c r="O161" s="22"/>
      <c r="P161" s="26" t="s">
        <v>1158</v>
      </c>
      <c r="Q161" s="19" t="s">
        <v>1159</v>
      </c>
      <c r="R161" s="22"/>
      <c r="S161" s="19" t="s">
        <v>1160</v>
      </c>
      <c r="T161" s="19" t="s">
        <v>633</v>
      </c>
      <c r="U161" s="19" t="s">
        <v>1161</v>
      </c>
      <c r="V161" s="22"/>
      <c r="W161" s="22" t="s">
        <v>1162</v>
      </c>
      <c r="X161" s="22"/>
      <c r="Y161" s="22"/>
      <c r="Z161" s="22" t="s">
        <v>182</v>
      </c>
      <c r="AA161" s="20" t="s">
        <v>93</v>
      </c>
      <c r="AB161" s="21" t="s">
        <v>94</v>
      </c>
      <c r="AC161" s="27" t="s">
        <v>213</v>
      </c>
      <c r="AD161" s="20" t="s">
        <v>93</v>
      </c>
      <c r="AE161" s="21" t="s">
        <v>94</v>
      </c>
      <c r="AF161" s="20" t="s">
        <v>93</v>
      </c>
      <c r="AG161" s="20" t="s">
        <v>93</v>
      </c>
      <c r="AH161" s="20" t="s">
        <v>93</v>
      </c>
      <c r="AI161" s="21" t="s">
        <v>94</v>
      </c>
    </row>
    <row r="162" customFormat="false" ht="57.75" hidden="false" customHeight="true" outlineLevel="0" collapsed="false">
      <c r="A162" s="15" t="n">
        <v>161</v>
      </c>
      <c r="B162" s="16" t="s">
        <v>76</v>
      </c>
      <c r="C162" s="15" t="s">
        <v>77</v>
      </c>
      <c r="D162" s="15" t="s">
        <v>78</v>
      </c>
      <c r="E162" s="17" t="s">
        <v>1163</v>
      </c>
      <c r="F162" s="15" t="s">
        <v>1164</v>
      </c>
      <c r="G162" s="15" t="s">
        <v>1148</v>
      </c>
      <c r="H162" s="15" t="s">
        <v>1165</v>
      </c>
      <c r="I162" s="15" t="s">
        <v>1166</v>
      </c>
      <c r="J162" s="15"/>
      <c r="K162" s="18"/>
      <c r="L162" s="18"/>
      <c r="M162" s="15" t="s">
        <v>94</v>
      </c>
      <c r="N162" s="19" t="s">
        <v>54</v>
      </c>
      <c r="O162" s="15"/>
      <c r="P162" s="15"/>
      <c r="Q162" s="19" t="s">
        <v>1159</v>
      </c>
      <c r="R162" s="15"/>
      <c r="S162" s="19" t="s">
        <v>200</v>
      </c>
      <c r="T162" s="15"/>
      <c r="U162" s="19" t="s">
        <v>1167</v>
      </c>
      <c r="V162" s="15"/>
      <c r="W162" s="15" t="s">
        <v>1168</v>
      </c>
      <c r="X162" s="15"/>
      <c r="Y162" s="15"/>
      <c r="Z162" s="15" t="s">
        <v>707</v>
      </c>
      <c r="AA162" s="20" t="s">
        <v>93</v>
      </c>
      <c r="AB162" s="21" t="s">
        <v>94</v>
      </c>
      <c r="AC162" s="21" t="s">
        <v>94</v>
      </c>
      <c r="AD162" s="20" t="s">
        <v>93</v>
      </c>
      <c r="AE162" s="21" t="s">
        <v>94</v>
      </c>
      <c r="AF162" s="20" t="s">
        <v>93</v>
      </c>
      <c r="AG162" s="21" t="s">
        <v>94</v>
      </c>
      <c r="AH162" s="20" t="s">
        <v>93</v>
      </c>
      <c r="AI162" s="21" t="s">
        <v>94</v>
      </c>
    </row>
    <row r="163" customFormat="false" ht="57.75" hidden="false" customHeight="true" outlineLevel="0" collapsed="false">
      <c r="A163" s="22" t="n">
        <v>162</v>
      </c>
      <c r="B163" s="23" t="s">
        <v>76</v>
      </c>
      <c r="C163" s="22" t="s">
        <v>77</v>
      </c>
      <c r="D163" s="22" t="s">
        <v>78</v>
      </c>
      <c r="E163" s="24" t="s">
        <v>1169</v>
      </c>
      <c r="F163" s="22" t="s">
        <v>1170</v>
      </c>
      <c r="G163" s="22" t="s">
        <v>1148</v>
      </c>
      <c r="H163" s="22" t="s">
        <v>1171</v>
      </c>
      <c r="I163" s="22" t="s">
        <v>1172</v>
      </c>
      <c r="J163" s="22"/>
      <c r="K163" s="25"/>
      <c r="L163" s="25"/>
      <c r="M163" s="22" t="s">
        <v>94</v>
      </c>
      <c r="N163" s="22"/>
      <c r="O163" s="22"/>
      <c r="P163" s="19" t="s">
        <v>531</v>
      </c>
      <c r="Q163" s="22"/>
      <c r="R163" s="22"/>
      <c r="S163" s="22"/>
      <c r="T163" s="19" t="s">
        <v>633</v>
      </c>
      <c r="U163" s="19" t="s">
        <v>1173</v>
      </c>
      <c r="V163" s="22"/>
      <c r="W163" s="22" t="s">
        <v>612</v>
      </c>
      <c r="X163" s="22"/>
      <c r="Y163" s="22"/>
      <c r="Z163" s="22" t="s">
        <v>383</v>
      </c>
      <c r="AA163" s="21" t="s">
        <v>94</v>
      </c>
      <c r="AB163" s="21" t="s">
        <v>94</v>
      </c>
      <c r="AC163" s="20" t="s">
        <v>93</v>
      </c>
      <c r="AD163" s="21" t="s">
        <v>94</v>
      </c>
      <c r="AE163" s="21" t="s">
        <v>94</v>
      </c>
      <c r="AF163" s="21" t="s">
        <v>94</v>
      </c>
      <c r="AG163" s="20" t="s">
        <v>93</v>
      </c>
      <c r="AH163" s="20" t="s">
        <v>93</v>
      </c>
      <c r="AI163" s="21" t="s">
        <v>94</v>
      </c>
    </row>
    <row r="164" customFormat="false" ht="57.75" hidden="false" customHeight="true" outlineLevel="0" collapsed="false">
      <c r="A164" s="15" t="n">
        <v>163</v>
      </c>
      <c r="B164" s="16" t="s">
        <v>76</v>
      </c>
      <c r="C164" s="15" t="s">
        <v>77</v>
      </c>
      <c r="D164" s="15" t="s">
        <v>78</v>
      </c>
      <c r="E164" s="17" t="s">
        <v>1174</v>
      </c>
      <c r="F164" s="15" t="s">
        <v>1175</v>
      </c>
      <c r="G164" s="15" t="s">
        <v>1148</v>
      </c>
      <c r="H164" s="15" t="s">
        <v>227</v>
      </c>
      <c r="I164" s="15" t="s">
        <v>1176</v>
      </c>
      <c r="J164" s="15"/>
      <c r="K164" s="18"/>
      <c r="L164" s="18"/>
      <c r="M164" s="15" t="s">
        <v>94</v>
      </c>
      <c r="N164" s="15"/>
      <c r="O164" s="15"/>
      <c r="P164" s="15"/>
      <c r="Q164" s="15"/>
      <c r="R164" s="15"/>
      <c r="S164" s="15"/>
      <c r="T164" s="19" t="s">
        <v>633</v>
      </c>
      <c r="U164" s="19" t="s">
        <v>666</v>
      </c>
      <c r="V164" s="15"/>
      <c r="W164" s="15" t="s">
        <v>1177</v>
      </c>
      <c r="X164" s="15"/>
      <c r="Y164" s="15"/>
      <c r="Z164" s="15" t="s">
        <v>150</v>
      </c>
      <c r="AA164" s="21" t="s">
        <v>94</v>
      </c>
      <c r="AB164" s="21" t="s">
        <v>94</v>
      </c>
      <c r="AC164" s="21" t="s">
        <v>94</v>
      </c>
      <c r="AD164" s="21" t="s">
        <v>94</v>
      </c>
      <c r="AE164" s="21" t="s">
        <v>94</v>
      </c>
      <c r="AF164" s="21" t="s">
        <v>94</v>
      </c>
      <c r="AG164" s="20" t="s">
        <v>93</v>
      </c>
      <c r="AH164" s="20" t="s">
        <v>93</v>
      </c>
      <c r="AI164" s="21" t="s">
        <v>94</v>
      </c>
    </row>
    <row r="165" customFormat="false" ht="57.75" hidden="false" customHeight="true" outlineLevel="0" collapsed="false">
      <c r="A165" s="22" t="n">
        <v>164</v>
      </c>
      <c r="B165" s="23" t="s">
        <v>76</v>
      </c>
      <c r="C165" s="22" t="s">
        <v>77</v>
      </c>
      <c r="D165" s="22" t="s">
        <v>78</v>
      </c>
      <c r="E165" s="24" t="s">
        <v>1178</v>
      </c>
      <c r="F165" s="22" t="s">
        <v>1179</v>
      </c>
      <c r="G165" s="22" t="s">
        <v>1180</v>
      </c>
      <c r="H165" s="22" t="s">
        <v>227</v>
      </c>
      <c r="I165" s="22" t="s">
        <v>1181</v>
      </c>
      <c r="J165" s="22"/>
      <c r="K165" s="25"/>
      <c r="L165" s="25"/>
      <c r="M165" s="22" t="s">
        <v>94</v>
      </c>
      <c r="N165" s="22"/>
      <c r="O165" s="22"/>
      <c r="P165" s="22"/>
      <c r="Q165" s="22"/>
      <c r="R165" s="22"/>
      <c r="S165" s="22"/>
      <c r="T165" s="22"/>
      <c r="U165" s="19" t="s">
        <v>1182</v>
      </c>
      <c r="V165" s="22"/>
      <c r="W165" s="22" t="s">
        <v>1183</v>
      </c>
      <c r="X165" s="22"/>
      <c r="Y165" s="22"/>
      <c r="Z165" s="22" t="s">
        <v>169</v>
      </c>
      <c r="AA165" s="21" t="s">
        <v>94</v>
      </c>
      <c r="AB165" s="21" t="s">
        <v>94</v>
      </c>
      <c r="AC165" s="21" t="s">
        <v>94</v>
      </c>
      <c r="AD165" s="21" t="s">
        <v>94</v>
      </c>
      <c r="AE165" s="21" t="s">
        <v>94</v>
      </c>
      <c r="AF165" s="21" t="s">
        <v>94</v>
      </c>
      <c r="AG165" s="21" t="s">
        <v>94</v>
      </c>
      <c r="AH165" s="20" t="s">
        <v>93</v>
      </c>
      <c r="AI165" s="21" t="s">
        <v>94</v>
      </c>
    </row>
    <row r="166" customFormat="false" ht="57.75" hidden="false" customHeight="true" outlineLevel="0" collapsed="false">
      <c r="A166" s="15" t="n">
        <v>165</v>
      </c>
      <c r="B166" s="16" t="s">
        <v>76</v>
      </c>
      <c r="C166" s="15" t="s">
        <v>77</v>
      </c>
      <c r="D166" s="15" t="s">
        <v>78</v>
      </c>
      <c r="E166" s="17" t="s">
        <v>1184</v>
      </c>
      <c r="F166" s="15" t="s">
        <v>1179</v>
      </c>
      <c r="G166" s="15" t="s">
        <v>1185</v>
      </c>
      <c r="H166" s="15" t="s">
        <v>227</v>
      </c>
      <c r="I166" s="15" t="s">
        <v>1186</v>
      </c>
      <c r="J166" s="15"/>
      <c r="K166" s="18"/>
      <c r="L166" s="18"/>
      <c r="M166" s="15" t="s">
        <v>94</v>
      </c>
      <c r="N166" s="15"/>
      <c r="O166" s="15"/>
      <c r="P166" s="15"/>
      <c r="Q166" s="15"/>
      <c r="R166" s="15"/>
      <c r="S166" s="15"/>
      <c r="T166" s="15"/>
      <c r="U166" s="19" t="s">
        <v>1187</v>
      </c>
      <c r="V166" s="15"/>
      <c r="W166" s="15" t="s">
        <v>1188</v>
      </c>
      <c r="X166" s="15"/>
      <c r="Y166" s="15"/>
      <c r="Z166" s="15" t="s">
        <v>547</v>
      </c>
      <c r="AA166" s="21" t="s">
        <v>94</v>
      </c>
      <c r="AB166" s="21" t="s">
        <v>94</v>
      </c>
      <c r="AC166" s="21" t="s">
        <v>94</v>
      </c>
      <c r="AD166" s="21" t="s">
        <v>94</v>
      </c>
      <c r="AE166" s="21" t="s">
        <v>94</v>
      </c>
      <c r="AF166" s="21" t="s">
        <v>94</v>
      </c>
      <c r="AG166" s="21" t="s">
        <v>94</v>
      </c>
      <c r="AH166" s="20" t="s">
        <v>93</v>
      </c>
      <c r="AI166" s="21" t="s">
        <v>94</v>
      </c>
    </row>
    <row r="167" customFormat="false" ht="57.75" hidden="false" customHeight="true" outlineLevel="0" collapsed="false">
      <c r="A167" s="22" t="n">
        <v>166</v>
      </c>
      <c r="B167" s="23" t="s">
        <v>76</v>
      </c>
      <c r="C167" s="22" t="s">
        <v>77</v>
      </c>
      <c r="D167" s="22" t="s">
        <v>78</v>
      </c>
      <c r="E167" s="24" t="s">
        <v>1189</v>
      </c>
      <c r="F167" s="22" t="s">
        <v>1179</v>
      </c>
      <c r="G167" s="22" t="s">
        <v>1190</v>
      </c>
      <c r="H167" s="22" t="s">
        <v>227</v>
      </c>
      <c r="I167" s="22" t="s">
        <v>305</v>
      </c>
      <c r="J167" s="22"/>
      <c r="K167" s="25"/>
      <c r="L167" s="25"/>
      <c r="M167" s="22" t="s">
        <v>94</v>
      </c>
      <c r="N167" s="22"/>
      <c r="O167" s="22"/>
      <c r="P167" s="26" t="s">
        <v>1191</v>
      </c>
      <c r="Q167" s="22"/>
      <c r="R167" s="22"/>
      <c r="S167" s="22"/>
      <c r="T167" s="22"/>
      <c r="U167" s="22"/>
      <c r="V167" s="22"/>
      <c r="W167" s="22" t="s">
        <v>180</v>
      </c>
      <c r="X167" s="22"/>
      <c r="Y167" s="22"/>
      <c r="Z167" s="22" t="s">
        <v>1192</v>
      </c>
      <c r="AA167" s="21" t="s">
        <v>94</v>
      </c>
      <c r="AB167" s="21" t="s">
        <v>94</v>
      </c>
      <c r="AC167" s="27" t="s">
        <v>213</v>
      </c>
      <c r="AD167" s="21" t="s">
        <v>94</v>
      </c>
      <c r="AE167" s="21" t="s">
        <v>94</v>
      </c>
      <c r="AF167" s="21" t="s">
        <v>94</v>
      </c>
      <c r="AG167" s="21" t="s">
        <v>94</v>
      </c>
      <c r="AH167" s="21" t="s">
        <v>94</v>
      </c>
      <c r="AI167" s="21" t="s">
        <v>94</v>
      </c>
    </row>
    <row r="168" customFormat="false" ht="57.75" hidden="false" customHeight="true" outlineLevel="0" collapsed="false">
      <c r="A168" s="15" t="n">
        <v>167</v>
      </c>
      <c r="B168" s="16" t="s">
        <v>76</v>
      </c>
      <c r="C168" s="15" t="s">
        <v>77</v>
      </c>
      <c r="D168" s="15" t="s">
        <v>78</v>
      </c>
      <c r="E168" s="17" t="s">
        <v>1193</v>
      </c>
      <c r="F168" s="15" t="s">
        <v>1179</v>
      </c>
      <c r="G168" s="15" t="s">
        <v>1194</v>
      </c>
      <c r="H168" s="15" t="s">
        <v>227</v>
      </c>
      <c r="I168" s="15" t="s">
        <v>1195</v>
      </c>
      <c r="J168" s="15"/>
      <c r="K168" s="18"/>
      <c r="L168" s="18"/>
      <c r="M168" s="15" t="s">
        <v>94</v>
      </c>
      <c r="N168" s="15"/>
      <c r="O168" s="15"/>
      <c r="P168" s="15"/>
      <c r="Q168" s="15"/>
      <c r="R168" s="15"/>
      <c r="S168" s="15"/>
      <c r="T168" s="15"/>
      <c r="U168" s="19" t="s">
        <v>1196</v>
      </c>
      <c r="V168" s="15"/>
      <c r="W168" s="15" t="s">
        <v>142</v>
      </c>
      <c r="X168" s="15"/>
      <c r="Y168" s="15"/>
      <c r="Z168" s="15" t="s">
        <v>128</v>
      </c>
      <c r="AA168" s="21" t="s">
        <v>94</v>
      </c>
      <c r="AB168" s="21" t="s">
        <v>94</v>
      </c>
      <c r="AC168" s="21" t="s">
        <v>94</v>
      </c>
      <c r="AD168" s="21" t="s">
        <v>94</v>
      </c>
      <c r="AE168" s="21" t="s">
        <v>94</v>
      </c>
      <c r="AF168" s="21" t="s">
        <v>94</v>
      </c>
      <c r="AG168" s="21" t="s">
        <v>94</v>
      </c>
      <c r="AH168" s="20" t="s">
        <v>93</v>
      </c>
      <c r="AI168" s="21" t="s">
        <v>94</v>
      </c>
    </row>
    <row r="169" customFormat="false" ht="57.75" hidden="false" customHeight="true" outlineLevel="0" collapsed="false">
      <c r="A169" s="22" t="n">
        <v>168</v>
      </c>
      <c r="B169" s="23" t="s">
        <v>76</v>
      </c>
      <c r="C169" s="22" t="s">
        <v>77</v>
      </c>
      <c r="D169" s="22" t="s">
        <v>78</v>
      </c>
      <c r="E169" s="24" t="s">
        <v>1197</v>
      </c>
      <c r="F169" s="22" t="s">
        <v>1198</v>
      </c>
      <c r="G169" s="22" t="s">
        <v>1199</v>
      </c>
      <c r="H169" s="22" t="s">
        <v>1200</v>
      </c>
      <c r="I169" s="22" t="s">
        <v>1201</v>
      </c>
      <c r="J169" s="22"/>
      <c r="K169" s="25"/>
      <c r="L169" s="25"/>
      <c r="M169" s="22" t="s">
        <v>94</v>
      </c>
      <c r="N169" s="19" t="s">
        <v>54</v>
      </c>
      <c r="O169" s="22"/>
      <c r="P169" s="22"/>
      <c r="Q169" s="22"/>
      <c r="R169" s="22"/>
      <c r="S169" s="19" t="s">
        <v>1202</v>
      </c>
      <c r="T169" s="22"/>
      <c r="U169" s="22"/>
      <c r="V169" s="22"/>
      <c r="W169" s="22" t="s">
        <v>1203</v>
      </c>
      <c r="X169" s="22"/>
      <c r="Y169" s="22"/>
      <c r="Z169" s="22" t="s">
        <v>1204</v>
      </c>
      <c r="AA169" s="20" t="s">
        <v>93</v>
      </c>
      <c r="AB169" s="21" t="s">
        <v>94</v>
      </c>
      <c r="AC169" s="21" t="s">
        <v>94</v>
      </c>
      <c r="AD169" s="21" t="s">
        <v>94</v>
      </c>
      <c r="AE169" s="21" t="s">
        <v>94</v>
      </c>
      <c r="AF169" s="20" t="s">
        <v>93</v>
      </c>
      <c r="AG169" s="21" t="s">
        <v>94</v>
      </c>
      <c r="AH169" s="21" t="s">
        <v>94</v>
      </c>
      <c r="AI169" s="21" t="s">
        <v>94</v>
      </c>
    </row>
    <row r="170" customFormat="false" ht="57.75" hidden="false" customHeight="true" outlineLevel="0" collapsed="false">
      <c r="A170" s="15" t="n">
        <v>169</v>
      </c>
      <c r="B170" s="16" t="s">
        <v>76</v>
      </c>
      <c r="C170" s="15" t="s">
        <v>77</v>
      </c>
      <c r="D170" s="15" t="s">
        <v>78</v>
      </c>
      <c r="E170" s="17" t="s">
        <v>1205</v>
      </c>
      <c r="F170" s="15" t="s">
        <v>1206</v>
      </c>
      <c r="G170" s="15" t="s">
        <v>1207</v>
      </c>
      <c r="H170" s="15" t="s">
        <v>817</v>
      </c>
      <c r="I170" s="15" t="s">
        <v>1208</v>
      </c>
      <c r="J170" s="15"/>
      <c r="K170" s="18"/>
      <c r="L170" s="18"/>
      <c r="M170" s="15" t="s">
        <v>85</v>
      </c>
      <c r="N170" s="15"/>
      <c r="O170" s="15"/>
      <c r="P170" s="15"/>
      <c r="Q170" s="15"/>
      <c r="R170" s="15"/>
      <c r="S170" s="15"/>
      <c r="T170" s="19" t="s">
        <v>633</v>
      </c>
      <c r="U170" s="15"/>
      <c r="V170" s="15"/>
      <c r="W170" s="15" t="s">
        <v>142</v>
      </c>
      <c r="X170" s="15"/>
      <c r="Y170" s="15"/>
      <c r="Z170" s="15"/>
      <c r="AA170" s="21" t="s">
        <v>94</v>
      </c>
      <c r="AB170" s="21" t="s">
        <v>94</v>
      </c>
      <c r="AC170" s="21" t="s">
        <v>94</v>
      </c>
      <c r="AD170" s="21" t="s">
        <v>94</v>
      </c>
      <c r="AE170" s="21" t="s">
        <v>94</v>
      </c>
      <c r="AF170" s="21" t="s">
        <v>94</v>
      </c>
      <c r="AG170" s="20" t="s">
        <v>93</v>
      </c>
      <c r="AH170" s="21" t="s">
        <v>94</v>
      </c>
      <c r="AI170" s="21" t="s">
        <v>94</v>
      </c>
    </row>
    <row r="171" customFormat="false" ht="57.75" hidden="false" customHeight="true" outlineLevel="0" collapsed="false">
      <c r="A171" s="22" t="n">
        <v>170</v>
      </c>
      <c r="B171" s="23" t="s">
        <v>76</v>
      </c>
      <c r="C171" s="22" t="s">
        <v>77</v>
      </c>
      <c r="D171" s="22" t="s">
        <v>78</v>
      </c>
      <c r="E171" s="24" t="s">
        <v>1209</v>
      </c>
      <c r="F171" s="22" t="s">
        <v>1210</v>
      </c>
      <c r="G171" s="22" t="s">
        <v>1211</v>
      </c>
      <c r="H171" s="22" t="s">
        <v>82</v>
      </c>
      <c r="I171" s="22" t="s">
        <v>623</v>
      </c>
      <c r="J171" s="22"/>
      <c r="K171" s="25"/>
      <c r="L171" s="25"/>
      <c r="M171" s="22" t="s">
        <v>99</v>
      </c>
      <c r="N171" s="22"/>
      <c r="O171" s="22"/>
      <c r="P171" s="22"/>
      <c r="Q171" s="22"/>
      <c r="R171" s="22"/>
      <c r="S171" s="22"/>
      <c r="T171" s="22"/>
      <c r="U171" s="22"/>
      <c r="V171" s="22"/>
      <c r="W171" s="22"/>
      <c r="X171" s="22" t="s">
        <v>624</v>
      </c>
      <c r="Y171" s="22"/>
      <c r="Z171" s="22" t="s">
        <v>547</v>
      </c>
      <c r="AA171" s="21" t="s">
        <v>94</v>
      </c>
      <c r="AB171" s="21" t="s">
        <v>94</v>
      </c>
      <c r="AC171" s="21" t="s">
        <v>94</v>
      </c>
      <c r="AD171" s="21" t="s">
        <v>94</v>
      </c>
      <c r="AE171" s="21" t="s">
        <v>94</v>
      </c>
      <c r="AF171" s="21" t="s">
        <v>94</v>
      </c>
      <c r="AG171" s="21" t="s">
        <v>94</v>
      </c>
      <c r="AH171" s="21" t="s">
        <v>94</v>
      </c>
      <c r="AI171" s="21" t="s">
        <v>94</v>
      </c>
    </row>
    <row r="172" customFormat="false" ht="57.75" hidden="false" customHeight="true" outlineLevel="0" collapsed="false">
      <c r="A172" s="15" t="n">
        <v>171</v>
      </c>
      <c r="B172" s="16" t="s">
        <v>76</v>
      </c>
      <c r="C172" s="15" t="s">
        <v>77</v>
      </c>
      <c r="D172" s="15" t="s">
        <v>78</v>
      </c>
      <c r="E172" s="17" t="s">
        <v>1212</v>
      </c>
      <c r="F172" s="15" t="s">
        <v>1213</v>
      </c>
      <c r="G172" s="15" t="s">
        <v>1214</v>
      </c>
      <c r="H172" s="15" t="s">
        <v>817</v>
      </c>
      <c r="I172" s="15" t="s">
        <v>1215</v>
      </c>
      <c r="J172" s="15"/>
      <c r="K172" s="18"/>
      <c r="L172" s="18"/>
      <c r="M172" s="15" t="s">
        <v>85</v>
      </c>
      <c r="N172" s="15"/>
      <c r="O172" s="15"/>
      <c r="P172" s="15"/>
      <c r="Q172" s="15"/>
      <c r="R172" s="15"/>
      <c r="S172" s="15"/>
      <c r="T172" s="19" t="s">
        <v>633</v>
      </c>
      <c r="U172" s="15"/>
      <c r="V172" s="15"/>
      <c r="W172" s="15" t="s">
        <v>180</v>
      </c>
      <c r="X172" s="15"/>
      <c r="Y172" s="15"/>
      <c r="Z172" s="15" t="s">
        <v>1216</v>
      </c>
      <c r="AA172" s="21" t="s">
        <v>94</v>
      </c>
      <c r="AB172" s="21" t="s">
        <v>94</v>
      </c>
      <c r="AC172" s="21" t="s">
        <v>94</v>
      </c>
      <c r="AD172" s="21" t="s">
        <v>94</v>
      </c>
      <c r="AE172" s="21" t="s">
        <v>94</v>
      </c>
      <c r="AF172" s="21" t="s">
        <v>94</v>
      </c>
      <c r="AG172" s="20" t="s">
        <v>93</v>
      </c>
      <c r="AH172" s="21" t="s">
        <v>94</v>
      </c>
      <c r="AI172" s="21" t="s">
        <v>94</v>
      </c>
    </row>
    <row r="173" customFormat="false" ht="57.75" hidden="false" customHeight="true" outlineLevel="0" collapsed="false">
      <c r="A173" s="22" t="n">
        <v>172</v>
      </c>
      <c r="B173" s="23" t="s">
        <v>76</v>
      </c>
      <c r="C173" s="22" t="s">
        <v>77</v>
      </c>
      <c r="D173" s="22" t="s">
        <v>78</v>
      </c>
      <c r="E173" s="24" t="s">
        <v>1217</v>
      </c>
      <c r="F173" s="22" t="s">
        <v>1218</v>
      </c>
      <c r="G173" s="22" t="s">
        <v>1219</v>
      </c>
      <c r="H173" s="22" t="s">
        <v>520</v>
      </c>
      <c r="I173" s="22" t="s">
        <v>1220</v>
      </c>
      <c r="J173" s="22" t="s">
        <v>1221</v>
      </c>
      <c r="K173" s="25" t="n">
        <v>3650</v>
      </c>
      <c r="L173" s="25" t="n">
        <v>3650</v>
      </c>
      <c r="M173" s="22" t="s">
        <v>85</v>
      </c>
      <c r="N173" s="22"/>
      <c r="O173" s="22"/>
      <c r="P173" s="19" t="s">
        <v>176</v>
      </c>
      <c r="Q173" s="19" t="s">
        <v>395</v>
      </c>
      <c r="R173" s="22"/>
      <c r="S173" s="19" t="s">
        <v>200</v>
      </c>
      <c r="T173" s="19" t="s">
        <v>633</v>
      </c>
      <c r="U173" s="19" t="s">
        <v>90</v>
      </c>
      <c r="V173" s="22"/>
      <c r="W173" s="22" t="s">
        <v>1222</v>
      </c>
      <c r="X173" s="22"/>
      <c r="Y173" s="22"/>
      <c r="Z173" s="22" t="s">
        <v>547</v>
      </c>
      <c r="AA173" s="21" t="s">
        <v>94</v>
      </c>
      <c r="AB173" s="21" t="s">
        <v>94</v>
      </c>
      <c r="AC173" s="20" t="s">
        <v>93</v>
      </c>
      <c r="AD173" s="20" t="s">
        <v>93</v>
      </c>
      <c r="AE173" s="21" t="s">
        <v>94</v>
      </c>
      <c r="AF173" s="20" t="s">
        <v>93</v>
      </c>
      <c r="AG173" s="20" t="s">
        <v>93</v>
      </c>
      <c r="AH173" s="20" t="s">
        <v>93</v>
      </c>
      <c r="AI173" s="21" t="s">
        <v>94</v>
      </c>
    </row>
    <row r="174" customFormat="false" ht="57.75" hidden="false" customHeight="true" outlineLevel="0" collapsed="false">
      <c r="A174" s="15" t="n">
        <v>173</v>
      </c>
      <c r="B174" s="16" t="s">
        <v>76</v>
      </c>
      <c r="C174" s="15" t="s">
        <v>77</v>
      </c>
      <c r="D174" s="15" t="s">
        <v>78</v>
      </c>
      <c r="E174" s="17" t="s">
        <v>1223</v>
      </c>
      <c r="F174" s="15" t="s">
        <v>1213</v>
      </c>
      <c r="G174" s="15" t="s">
        <v>1224</v>
      </c>
      <c r="H174" s="15" t="s">
        <v>520</v>
      </c>
      <c r="I174" s="15" t="s">
        <v>1225</v>
      </c>
      <c r="J174" s="15"/>
      <c r="K174" s="18"/>
      <c r="L174" s="18"/>
      <c r="M174" s="15" t="s">
        <v>85</v>
      </c>
      <c r="N174" s="15"/>
      <c r="O174" s="15"/>
      <c r="P174" s="15"/>
      <c r="Q174" s="15"/>
      <c r="R174" s="15"/>
      <c r="S174" s="15"/>
      <c r="T174" s="19" t="s">
        <v>633</v>
      </c>
      <c r="U174" s="15"/>
      <c r="V174" s="15"/>
      <c r="W174" s="15" t="s">
        <v>1226</v>
      </c>
      <c r="X174" s="15"/>
      <c r="Y174" s="15"/>
      <c r="Z174" s="15" t="s">
        <v>669</v>
      </c>
      <c r="AA174" s="21" t="s">
        <v>94</v>
      </c>
      <c r="AB174" s="21" t="s">
        <v>94</v>
      </c>
      <c r="AC174" s="21" t="s">
        <v>94</v>
      </c>
      <c r="AD174" s="21" t="s">
        <v>94</v>
      </c>
      <c r="AE174" s="21" t="s">
        <v>94</v>
      </c>
      <c r="AF174" s="21" t="s">
        <v>94</v>
      </c>
      <c r="AG174" s="20" t="s">
        <v>93</v>
      </c>
      <c r="AH174" s="21" t="s">
        <v>94</v>
      </c>
      <c r="AI174" s="21" t="s">
        <v>94</v>
      </c>
    </row>
    <row r="175" customFormat="false" ht="57.75" hidden="false" customHeight="true" outlineLevel="0" collapsed="false">
      <c r="A175" s="22" t="n">
        <v>174</v>
      </c>
      <c r="B175" s="23" t="s">
        <v>76</v>
      </c>
      <c r="C175" s="22" t="s">
        <v>77</v>
      </c>
      <c r="D175" s="22" t="s">
        <v>78</v>
      </c>
      <c r="E175" s="24" t="s">
        <v>1227</v>
      </c>
      <c r="F175" s="22" t="s">
        <v>1228</v>
      </c>
      <c r="G175" s="22" t="s">
        <v>1229</v>
      </c>
      <c r="H175" s="22" t="s">
        <v>82</v>
      </c>
      <c r="I175" s="22" t="s">
        <v>1230</v>
      </c>
      <c r="J175" s="22"/>
      <c r="K175" s="25"/>
      <c r="L175" s="25"/>
      <c r="M175" s="22" t="s">
        <v>99</v>
      </c>
      <c r="N175" s="19" t="s">
        <v>54</v>
      </c>
      <c r="O175" s="22"/>
      <c r="P175" s="22"/>
      <c r="Q175" s="19" t="s">
        <v>1231</v>
      </c>
      <c r="R175" s="22"/>
      <c r="S175" s="22"/>
      <c r="T175" s="19" t="s">
        <v>522</v>
      </c>
      <c r="U175" s="22"/>
      <c r="V175" s="22"/>
      <c r="W175" s="22" t="s">
        <v>534</v>
      </c>
      <c r="X175" s="22"/>
      <c r="Y175" s="22"/>
      <c r="Z175" s="22" t="s">
        <v>1232</v>
      </c>
      <c r="AA175" s="20" t="s">
        <v>93</v>
      </c>
      <c r="AB175" s="21" t="s">
        <v>94</v>
      </c>
      <c r="AC175" s="21" t="s">
        <v>94</v>
      </c>
      <c r="AD175" s="20" t="s">
        <v>93</v>
      </c>
      <c r="AE175" s="21" t="s">
        <v>94</v>
      </c>
      <c r="AF175" s="21" t="s">
        <v>94</v>
      </c>
      <c r="AG175" s="20" t="s">
        <v>93</v>
      </c>
      <c r="AH175" s="21" t="s">
        <v>94</v>
      </c>
      <c r="AI175" s="21" t="s">
        <v>94</v>
      </c>
    </row>
    <row r="176" customFormat="false" ht="57.75" hidden="false" customHeight="true" outlineLevel="0" collapsed="false">
      <c r="A176" s="15" t="n">
        <v>175</v>
      </c>
      <c r="B176" s="16" t="s">
        <v>76</v>
      </c>
      <c r="C176" s="15" t="s">
        <v>77</v>
      </c>
      <c r="D176" s="15" t="s">
        <v>78</v>
      </c>
      <c r="E176" s="17" t="s">
        <v>1233</v>
      </c>
      <c r="F176" s="15"/>
      <c r="G176" s="15"/>
      <c r="H176" s="15"/>
      <c r="I176" s="15"/>
      <c r="J176" s="15" t="s">
        <v>1234</v>
      </c>
      <c r="K176" s="18" t="n">
        <v>3500</v>
      </c>
      <c r="L176" s="18" t="n">
        <v>3950</v>
      </c>
      <c r="M176" s="15" t="s">
        <v>94</v>
      </c>
      <c r="N176" s="15"/>
      <c r="O176" s="15"/>
      <c r="P176" s="15"/>
      <c r="Q176" s="15"/>
      <c r="R176" s="15"/>
      <c r="S176" s="15"/>
      <c r="T176" s="15"/>
      <c r="U176" s="15"/>
      <c r="V176" s="15"/>
      <c r="W176" s="15"/>
      <c r="X176" s="15"/>
      <c r="Y176" s="15"/>
      <c r="Z176" s="15"/>
      <c r="AA176" s="21" t="s">
        <v>94</v>
      </c>
      <c r="AB176" s="21" t="s">
        <v>94</v>
      </c>
      <c r="AC176" s="21" t="s">
        <v>94</v>
      </c>
      <c r="AD176" s="21" t="s">
        <v>94</v>
      </c>
      <c r="AE176" s="21" t="s">
        <v>94</v>
      </c>
      <c r="AF176" s="21" t="s">
        <v>94</v>
      </c>
      <c r="AG176" s="21" t="s">
        <v>94</v>
      </c>
      <c r="AH176" s="21" t="s">
        <v>94</v>
      </c>
      <c r="AI176" s="21" t="s">
        <v>94</v>
      </c>
    </row>
    <row r="177" customFormat="false" ht="57.75" hidden="false" customHeight="true" outlineLevel="0" collapsed="false">
      <c r="A177" s="22" t="n">
        <v>176</v>
      </c>
      <c r="B177" s="23" t="s">
        <v>76</v>
      </c>
      <c r="C177" s="22" t="s">
        <v>77</v>
      </c>
      <c r="D177" s="22" t="s">
        <v>78</v>
      </c>
      <c r="E177" s="24" t="s">
        <v>1235</v>
      </c>
      <c r="F177" s="22"/>
      <c r="G177" s="22"/>
      <c r="H177" s="22"/>
      <c r="I177" s="22" t="s">
        <v>695</v>
      </c>
      <c r="J177" s="22" t="s">
        <v>1236</v>
      </c>
      <c r="K177" s="25" t="n">
        <v>6900</v>
      </c>
      <c r="L177" s="25" t="n">
        <v>6900</v>
      </c>
      <c r="M177" s="22" t="s">
        <v>94</v>
      </c>
      <c r="N177" s="22"/>
      <c r="O177" s="22"/>
      <c r="P177" s="22"/>
      <c r="Q177" s="22"/>
      <c r="R177" s="22"/>
      <c r="S177" s="22"/>
      <c r="T177" s="22"/>
      <c r="U177" s="22"/>
      <c r="V177" s="22"/>
      <c r="W177" s="22"/>
      <c r="X177" s="22"/>
      <c r="Y177" s="22"/>
      <c r="Z177" s="22"/>
      <c r="AA177" s="21" t="s">
        <v>94</v>
      </c>
      <c r="AB177" s="21" t="s">
        <v>94</v>
      </c>
      <c r="AC177" s="21" t="s">
        <v>94</v>
      </c>
      <c r="AD177" s="21" t="s">
        <v>94</v>
      </c>
      <c r="AE177" s="21" t="s">
        <v>94</v>
      </c>
      <c r="AF177" s="21" t="s">
        <v>94</v>
      </c>
      <c r="AG177" s="21" t="s">
        <v>94</v>
      </c>
      <c r="AH177" s="21" t="s">
        <v>94</v>
      </c>
      <c r="AI177" s="21" t="s">
        <v>94</v>
      </c>
    </row>
    <row r="178" customFormat="false" ht="57.75" hidden="false" customHeight="true" outlineLevel="0" collapsed="false">
      <c r="A178" s="15" t="n">
        <v>177</v>
      </c>
      <c r="B178" s="16" t="s">
        <v>76</v>
      </c>
      <c r="C178" s="15" t="s">
        <v>77</v>
      </c>
      <c r="D178" s="15" t="s">
        <v>78</v>
      </c>
      <c r="E178" s="17" t="s">
        <v>1237</v>
      </c>
      <c r="F178" s="15" t="s">
        <v>109</v>
      </c>
      <c r="G178" s="15" t="s">
        <v>1238</v>
      </c>
      <c r="H178" s="15" t="s">
        <v>817</v>
      </c>
      <c r="I178" s="15" t="s">
        <v>1239</v>
      </c>
      <c r="J178" s="15" t="s">
        <v>1240</v>
      </c>
      <c r="K178" s="18"/>
      <c r="L178" s="18"/>
      <c r="M178" s="15" t="s">
        <v>85</v>
      </c>
      <c r="N178" s="19" t="s">
        <v>54</v>
      </c>
      <c r="O178" s="15"/>
      <c r="P178" s="15"/>
      <c r="Q178" s="19" t="s">
        <v>395</v>
      </c>
      <c r="R178" s="15"/>
      <c r="S178" s="19" t="s">
        <v>200</v>
      </c>
      <c r="T178" s="19" t="s">
        <v>633</v>
      </c>
      <c r="U178" s="19" t="s">
        <v>681</v>
      </c>
      <c r="V178" s="15"/>
      <c r="W178" s="15" t="s">
        <v>1241</v>
      </c>
      <c r="X178" s="15"/>
      <c r="Y178" s="15"/>
      <c r="Z178" s="15" t="s">
        <v>1242</v>
      </c>
      <c r="AA178" s="20" t="s">
        <v>93</v>
      </c>
      <c r="AB178" s="21" t="s">
        <v>94</v>
      </c>
      <c r="AC178" s="21" t="s">
        <v>94</v>
      </c>
      <c r="AD178" s="20" t="s">
        <v>93</v>
      </c>
      <c r="AE178" s="21" t="s">
        <v>94</v>
      </c>
      <c r="AF178" s="20" t="s">
        <v>93</v>
      </c>
      <c r="AG178" s="20" t="s">
        <v>93</v>
      </c>
      <c r="AH178" s="20" t="s">
        <v>93</v>
      </c>
      <c r="AI178" s="21" t="s">
        <v>94</v>
      </c>
    </row>
    <row r="179" customFormat="false" ht="57.75" hidden="false" customHeight="true" outlineLevel="0" collapsed="false">
      <c r="A179" s="22" t="n">
        <v>178</v>
      </c>
      <c r="B179" s="23" t="s">
        <v>76</v>
      </c>
      <c r="C179" s="22" t="s">
        <v>77</v>
      </c>
      <c r="D179" s="22" t="s">
        <v>78</v>
      </c>
      <c r="E179" s="24" t="s">
        <v>1243</v>
      </c>
      <c r="F179" s="22" t="s">
        <v>1244</v>
      </c>
      <c r="G179" s="22" t="s">
        <v>1245</v>
      </c>
      <c r="H179" s="22" t="s">
        <v>227</v>
      </c>
      <c r="I179" s="22" t="s">
        <v>739</v>
      </c>
      <c r="J179" s="22"/>
      <c r="K179" s="25"/>
      <c r="L179" s="25"/>
      <c r="M179" s="22" t="s">
        <v>94</v>
      </c>
      <c r="N179" s="22"/>
      <c r="O179" s="22"/>
      <c r="P179" s="22"/>
      <c r="Q179" s="22"/>
      <c r="R179" s="22"/>
      <c r="S179" s="22"/>
      <c r="T179" s="22"/>
      <c r="U179" s="22"/>
      <c r="V179" s="22"/>
      <c r="W179" s="22" t="s">
        <v>180</v>
      </c>
      <c r="X179" s="22"/>
      <c r="Y179" s="22"/>
      <c r="Z179" s="22" t="s">
        <v>1192</v>
      </c>
      <c r="AA179" s="21" t="s">
        <v>94</v>
      </c>
      <c r="AB179" s="21" t="s">
        <v>94</v>
      </c>
      <c r="AC179" s="21" t="s">
        <v>94</v>
      </c>
      <c r="AD179" s="21" t="s">
        <v>94</v>
      </c>
      <c r="AE179" s="21" t="s">
        <v>94</v>
      </c>
      <c r="AF179" s="21" t="s">
        <v>94</v>
      </c>
      <c r="AG179" s="21" t="s">
        <v>94</v>
      </c>
      <c r="AH179" s="21" t="s">
        <v>94</v>
      </c>
      <c r="AI179" s="21" t="s">
        <v>94</v>
      </c>
    </row>
    <row r="180" customFormat="false" ht="57.75" hidden="false" customHeight="true" outlineLevel="0" collapsed="false">
      <c r="A180" s="15" t="n">
        <v>179</v>
      </c>
      <c r="B180" s="16" t="s">
        <v>76</v>
      </c>
      <c r="C180" s="15" t="s">
        <v>77</v>
      </c>
      <c r="D180" s="15" t="s">
        <v>78</v>
      </c>
      <c r="E180" s="17" t="s">
        <v>1246</v>
      </c>
      <c r="F180" s="15" t="s">
        <v>737</v>
      </c>
      <c r="G180" s="15" t="s">
        <v>1247</v>
      </c>
      <c r="H180" s="15" t="s">
        <v>520</v>
      </c>
      <c r="I180" s="15" t="s">
        <v>1248</v>
      </c>
      <c r="J180" s="15"/>
      <c r="K180" s="18"/>
      <c r="L180" s="18"/>
      <c r="M180" s="15" t="s">
        <v>85</v>
      </c>
      <c r="N180" s="15"/>
      <c r="O180" s="15"/>
      <c r="P180" s="15"/>
      <c r="Q180" s="15"/>
      <c r="R180" s="15"/>
      <c r="S180" s="19" t="s">
        <v>89</v>
      </c>
      <c r="T180" s="19" t="s">
        <v>633</v>
      </c>
      <c r="U180" s="19" t="s">
        <v>1249</v>
      </c>
      <c r="V180" s="15"/>
      <c r="W180" s="15" t="s">
        <v>1250</v>
      </c>
      <c r="X180" s="15"/>
      <c r="Y180" s="15"/>
      <c r="Z180" s="15" t="s">
        <v>119</v>
      </c>
      <c r="AA180" s="21" t="s">
        <v>94</v>
      </c>
      <c r="AB180" s="21" t="s">
        <v>94</v>
      </c>
      <c r="AC180" s="21" t="s">
        <v>94</v>
      </c>
      <c r="AD180" s="21" t="s">
        <v>94</v>
      </c>
      <c r="AE180" s="21" t="s">
        <v>94</v>
      </c>
      <c r="AF180" s="20" t="s">
        <v>93</v>
      </c>
      <c r="AG180" s="20" t="s">
        <v>93</v>
      </c>
      <c r="AH180" s="20" t="s">
        <v>93</v>
      </c>
      <c r="AI180" s="21" t="s">
        <v>94</v>
      </c>
    </row>
    <row r="181" customFormat="false" ht="57.75" hidden="false" customHeight="true" outlineLevel="0" collapsed="false">
      <c r="A181" s="22" t="n">
        <v>180</v>
      </c>
      <c r="B181" s="23" t="s">
        <v>76</v>
      </c>
      <c r="C181" s="22" t="s">
        <v>77</v>
      </c>
      <c r="D181" s="22" t="s">
        <v>78</v>
      </c>
      <c r="E181" s="24" t="s">
        <v>1251</v>
      </c>
      <c r="F181" s="22" t="s">
        <v>1252</v>
      </c>
      <c r="G181" s="22" t="s">
        <v>1020</v>
      </c>
      <c r="H181" s="22" t="s">
        <v>817</v>
      </c>
      <c r="I181" s="22" t="s">
        <v>562</v>
      </c>
      <c r="J181" s="22"/>
      <c r="K181" s="25"/>
      <c r="L181" s="25"/>
      <c r="M181" s="22" t="s">
        <v>85</v>
      </c>
      <c r="N181" s="22"/>
      <c r="O181" s="22"/>
      <c r="P181" s="22"/>
      <c r="Q181" s="22"/>
      <c r="R181" s="22"/>
      <c r="S181" s="19" t="s">
        <v>200</v>
      </c>
      <c r="T181" s="19" t="s">
        <v>633</v>
      </c>
      <c r="U181" s="19" t="s">
        <v>1253</v>
      </c>
      <c r="V181" s="22"/>
      <c r="W181" s="22" t="s">
        <v>1254</v>
      </c>
      <c r="X181" s="22"/>
      <c r="Y181" s="22"/>
      <c r="Z181" s="22" t="s">
        <v>1255</v>
      </c>
      <c r="AA181" s="21" t="s">
        <v>94</v>
      </c>
      <c r="AB181" s="21" t="s">
        <v>94</v>
      </c>
      <c r="AC181" s="21" t="s">
        <v>94</v>
      </c>
      <c r="AD181" s="21" t="s">
        <v>94</v>
      </c>
      <c r="AE181" s="21" t="s">
        <v>94</v>
      </c>
      <c r="AF181" s="20" t="s">
        <v>93</v>
      </c>
      <c r="AG181" s="20" t="s">
        <v>93</v>
      </c>
      <c r="AH181" s="20" t="s">
        <v>93</v>
      </c>
      <c r="AI181" s="21" t="s">
        <v>94</v>
      </c>
    </row>
    <row r="182" customFormat="false" ht="57.75" hidden="false" customHeight="true" outlineLevel="0" collapsed="false">
      <c r="A182" s="15" t="n">
        <v>181</v>
      </c>
      <c r="B182" s="16" t="s">
        <v>76</v>
      </c>
      <c r="C182" s="15" t="s">
        <v>77</v>
      </c>
      <c r="D182" s="15" t="s">
        <v>78</v>
      </c>
      <c r="E182" s="17" t="s">
        <v>1256</v>
      </c>
      <c r="F182" s="15" t="s">
        <v>1257</v>
      </c>
      <c r="G182" s="15" t="s">
        <v>255</v>
      </c>
      <c r="H182" s="15" t="s">
        <v>520</v>
      </c>
      <c r="I182" s="15" t="s">
        <v>1258</v>
      </c>
      <c r="J182" s="15"/>
      <c r="K182" s="18"/>
      <c r="L182" s="18"/>
      <c r="M182" s="15" t="s">
        <v>85</v>
      </c>
      <c r="N182" s="15"/>
      <c r="O182" s="15"/>
      <c r="P182" s="15"/>
      <c r="Q182" s="15"/>
      <c r="R182" s="15"/>
      <c r="S182" s="15"/>
      <c r="T182" s="15"/>
      <c r="U182" s="15"/>
      <c r="V182" s="15"/>
      <c r="W182" s="15" t="s">
        <v>1259</v>
      </c>
      <c r="X182" s="15"/>
      <c r="Y182" s="15"/>
      <c r="Z182" s="15" t="s">
        <v>1260</v>
      </c>
      <c r="AA182" s="21" t="s">
        <v>94</v>
      </c>
      <c r="AB182" s="21" t="s">
        <v>94</v>
      </c>
      <c r="AC182" s="21" t="s">
        <v>94</v>
      </c>
      <c r="AD182" s="21" t="s">
        <v>94</v>
      </c>
      <c r="AE182" s="21" t="s">
        <v>94</v>
      </c>
      <c r="AF182" s="21" t="s">
        <v>94</v>
      </c>
      <c r="AG182" s="21" t="s">
        <v>94</v>
      </c>
      <c r="AH182" s="21" t="s">
        <v>94</v>
      </c>
      <c r="AI182" s="21" t="s">
        <v>94</v>
      </c>
    </row>
    <row r="183" customFormat="false" ht="57.75" hidden="false" customHeight="true" outlineLevel="0" collapsed="false">
      <c r="A183" s="22" t="n">
        <v>182</v>
      </c>
      <c r="B183" s="23" t="s">
        <v>76</v>
      </c>
      <c r="C183" s="22" t="s">
        <v>77</v>
      </c>
      <c r="D183" s="22" t="s">
        <v>78</v>
      </c>
      <c r="E183" s="24" t="s">
        <v>1261</v>
      </c>
      <c r="F183" s="22" t="s">
        <v>1262</v>
      </c>
      <c r="G183" s="22" t="s">
        <v>1263</v>
      </c>
      <c r="H183" s="22" t="s">
        <v>227</v>
      </c>
      <c r="I183" s="22" t="s">
        <v>1264</v>
      </c>
      <c r="J183" s="22"/>
      <c r="K183" s="25"/>
      <c r="L183" s="25"/>
      <c r="M183" s="22" t="s">
        <v>94</v>
      </c>
      <c r="N183" s="22"/>
      <c r="O183" s="22"/>
      <c r="P183" s="22"/>
      <c r="Q183" s="22"/>
      <c r="R183" s="22"/>
      <c r="S183" s="22"/>
      <c r="T183" s="22"/>
      <c r="U183" s="22"/>
      <c r="V183" s="22"/>
      <c r="W183" s="22"/>
      <c r="X183" s="22" t="s">
        <v>624</v>
      </c>
      <c r="Y183" s="22"/>
      <c r="Z183" s="22" t="s">
        <v>1043</v>
      </c>
      <c r="AA183" s="21" t="s">
        <v>94</v>
      </c>
      <c r="AB183" s="21" t="s">
        <v>94</v>
      </c>
      <c r="AC183" s="21" t="s">
        <v>94</v>
      </c>
      <c r="AD183" s="21" t="s">
        <v>94</v>
      </c>
      <c r="AE183" s="21" t="s">
        <v>94</v>
      </c>
      <c r="AF183" s="21" t="s">
        <v>94</v>
      </c>
      <c r="AG183" s="21" t="s">
        <v>94</v>
      </c>
      <c r="AH183" s="21" t="s">
        <v>94</v>
      </c>
      <c r="AI183" s="21" t="s">
        <v>94</v>
      </c>
    </row>
    <row r="184" customFormat="false" ht="57.75" hidden="false" customHeight="true" outlineLevel="0" collapsed="false">
      <c r="A184" s="15" t="n">
        <v>183</v>
      </c>
      <c r="B184" s="16" t="s">
        <v>76</v>
      </c>
      <c r="C184" s="15" t="s">
        <v>77</v>
      </c>
      <c r="D184" s="15" t="s">
        <v>78</v>
      </c>
      <c r="E184" s="17" t="s">
        <v>1265</v>
      </c>
      <c r="F184" s="15" t="s">
        <v>1266</v>
      </c>
      <c r="G184" s="15" t="s">
        <v>1263</v>
      </c>
      <c r="H184" s="15" t="s">
        <v>520</v>
      </c>
      <c r="I184" s="15" t="s">
        <v>1267</v>
      </c>
      <c r="J184" s="15"/>
      <c r="K184" s="18"/>
      <c r="L184" s="18"/>
      <c r="M184" s="15" t="s">
        <v>85</v>
      </c>
      <c r="N184" s="19" t="s">
        <v>54</v>
      </c>
      <c r="O184" s="15"/>
      <c r="P184" s="15"/>
      <c r="Q184" s="15"/>
      <c r="R184" s="15"/>
      <c r="S184" s="19" t="s">
        <v>1268</v>
      </c>
      <c r="T184" s="19" t="s">
        <v>633</v>
      </c>
      <c r="U184" s="15"/>
      <c r="V184" s="15"/>
      <c r="W184" s="15" t="s">
        <v>1269</v>
      </c>
      <c r="X184" s="15"/>
      <c r="Y184" s="15"/>
      <c r="Z184" s="15" t="s">
        <v>368</v>
      </c>
      <c r="AA184" s="20" t="s">
        <v>93</v>
      </c>
      <c r="AB184" s="21" t="s">
        <v>94</v>
      </c>
      <c r="AC184" s="21" t="s">
        <v>94</v>
      </c>
      <c r="AD184" s="21" t="s">
        <v>94</v>
      </c>
      <c r="AE184" s="21" t="s">
        <v>94</v>
      </c>
      <c r="AF184" s="20" t="s">
        <v>93</v>
      </c>
      <c r="AG184" s="20" t="s">
        <v>93</v>
      </c>
      <c r="AH184" s="21" t="s">
        <v>94</v>
      </c>
      <c r="AI184" s="21" t="s">
        <v>94</v>
      </c>
    </row>
    <row r="185" customFormat="false" ht="57.75" hidden="false" customHeight="true" outlineLevel="0" collapsed="false">
      <c r="A185" s="22" t="n">
        <v>184</v>
      </c>
      <c r="B185" s="23" t="s">
        <v>76</v>
      </c>
      <c r="C185" s="22" t="s">
        <v>77</v>
      </c>
      <c r="D185" s="22" t="s">
        <v>78</v>
      </c>
      <c r="E185" s="24" t="s">
        <v>1270</v>
      </c>
      <c r="F185" s="22" t="s">
        <v>1271</v>
      </c>
      <c r="G185" s="22" t="s">
        <v>1272</v>
      </c>
      <c r="H185" s="22" t="s">
        <v>82</v>
      </c>
      <c r="I185" s="22" t="s">
        <v>695</v>
      </c>
      <c r="J185" s="22"/>
      <c r="K185" s="25"/>
      <c r="L185" s="25"/>
      <c r="M185" s="22" t="s">
        <v>99</v>
      </c>
      <c r="N185" s="22"/>
      <c r="O185" s="19" t="s">
        <v>1273</v>
      </c>
      <c r="P185" s="22"/>
      <c r="Q185" s="22"/>
      <c r="R185" s="22"/>
      <c r="S185" s="22"/>
      <c r="T185" s="19" t="s">
        <v>633</v>
      </c>
      <c r="U185" s="19" t="s">
        <v>1274</v>
      </c>
      <c r="V185" s="22"/>
      <c r="W185" s="22" t="s">
        <v>1275</v>
      </c>
      <c r="X185" s="22"/>
      <c r="Y185" s="22"/>
      <c r="Z185" s="22" t="s">
        <v>1276</v>
      </c>
      <c r="AA185" s="21" t="s">
        <v>94</v>
      </c>
      <c r="AB185" s="20" t="s">
        <v>93</v>
      </c>
      <c r="AC185" s="21" t="s">
        <v>94</v>
      </c>
      <c r="AD185" s="21" t="s">
        <v>94</v>
      </c>
      <c r="AE185" s="21" t="s">
        <v>94</v>
      </c>
      <c r="AF185" s="21" t="s">
        <v>94</v>
      </c>
      <c r="AG185" s="20" t="s">
        <v>93</v>
      </c>
      <c r="AH185" s="20" t="s">
        <v>93</v>
      </c>
      <c r="AI185" s="21" t="s">
        <v>94</v>
      </c>
    </row>
    <row r="186" customFormat="false" ht="57.75" hidden="false" customHeight="true" outlineLevel="0" collapsed="false">
      <c r="A186" s="15" t="n">
        <v>185</v>
      </c>
      <c r="B186" s="16" t="s">
        <v>76</v>
      </c>
      <c r="C186" s="15" t="s">
        <v>77</v>
      </c>
      <c r="D186" s="15" t="s">
        <v>78</v>
      </c>
      <c r="E186" s="17" t="s">
        <v>1277</v>
      </c>
      <c r="F186" s="15" t="s">
        <v>244</v>
      </c>
      <c r="G186" s="15" t="s">
        <v>1278</v>
      </c>
      <c r="H186" s="15" t="s">
        <v>227</v>
      </c>
      <c r="I186" s="15" t="s">
        <v>1279</v>
      </c>
      <c r="J186" s="15"/>
      <c r="K186" s="18"/>
      <c r="L186" s="18"/>
      <c r="M186" s="15" t="s">
        <v>94</v>
      </c>
      <c r="N186" s="15"/>
      <c r="O186" s="15"/>
      <c r="P186" s="15"/>
      <c r="Q186" s="15"/>
      <c r="R186" s="15"/>
      <c r="S186" s="15"/>
      <c r="T186" s="19" t="s">
        <v>633</v>
      </c>
      <c r="U186" s="15"/>
      <c r="V186" s="15"/>
      <c r="W186" s="15" t="s">
        <v>1280</v>
      </c>
      <c r="X186" s="15"/>
      <c r="Y186" s="15"/>
      <c r="Z186" s="15" t="s">
        <v>1192</v>
      </c>
      <c r="AA186" s="21" t="s">
        <v>94</v>
      </c>
      <c r="AB186" s="21" t="s">
        <v>94</v>
      </c>
      <c r="AC186" s="21" t="s">
        <v>94</v>
      </c>
      <c r="AD186" s="21" t="s">
        <v>94</v>
      </c>
      <c r="AE186" s="21" t="s">
        <v>94</v>
      </c>
      <c r="AF186" s="21" t="s">
        <v>94</v>
      </c>
      <c r="AG186" s="20" t="s">
        <v>93</v>
      </c>
      <c r="AH186" s="21" t="s">
        <v>94</v>
      </c>
      <c r="AI186" s="21" t="s">
        <v>94</v>
      </c>
    </row>
    <row r="187" customFormat="false" ht="57.75" hidden="false" customHeight="true" outlineLevel="0" collapsed="false">
      <c r="A187" s="22" t="n">
        <v>186</v>
      </c>
      <c r="B187" s="23" t="s">
        <v>76</v>
      </c>
      <c r="C187" s="22" t="s">
        <v>77</v>
      </c>
      <c r="D187" s="22" t="s">
        <v>78</v>
      </c>
      <c r="E187" s="24" t="s">
        <v>1281</v>
      </c>
      <c r="F187" s="22" t="s">
        <v>1282</v>
      </c>
      <c r="G187" s="22" t="s">
        <v>1283</v>
      </c>
      <c r="H187" s="22" t="s">
        <v>82</v>
      </c>
      <c r="I187" s="22" t="s">
        <v>1284</v>
      </c>
      <c r="J187" s="22"/>
      <c r="K187" s="25"/>
      <c r="L187" s="25"/>
      <c r="M187" s="22" t="s">
        <v>99</v>
      </c>
      <c r="N187" s="22"/>
      <c r="O187" s="22"/>
      <c r="P187" s="19" t="s">
        <v>1285</v>
      </c>
      <c r="Q187" s="19" t="s">
        <v>1286</v>
      </c>
      <c r="R187" s="19" t="s">
        <v>1287</v>
      </c>
      <c r="S187" s="19" t="s">
        <v>1288</v>
      </c>
      <c r="T187" s="19" t="s">
        <v>633</v>
      </c>
      <c r="U187" s="19" t="s">
        <v>1289</v>
      </c>
      <c r="V187" s="22"/>
      <c r="W187" s="22" t="s">
        <v>180</v>
      </c>
      <c r="X187" s="22"/>
      <c r="Y187" s="22"/>
      <c r="Z187" s="22" t="s">
        <v>119</v>
      </c>
      <c r="AA187" s="21" t="s">
        <v>94</v>
      </c>
      <c r="AB187" s="21" t="s">
        <v>94</v>
      </c>
      <c r="AC187" s="20" t="s">
        <v>93</v>
      </c>
      <c r="AD187" s="20" t="s">
        <v>93</v>
      </c>
      <c r="AE187" s="20" t="s">
        <v>93</v>
      </c>
      <c r="AF187" s="20" t="s">
        <v>93</v>
      </c>
      <c r="AG187" s="20" t="s">
        <v>93</v>
      </c>
      <c r="AH187" s="20" t="s">
        <v>93</v>
      </c>
      <c r="AI187" s="21" t="s">
        <v>94</v>
      </c>
    </row>
    <row r="188" customFormat="false" ht="57.75" hidden="false" customHeight="true" outlineLevel="0" collapsed="false">
      <c r="A188" s="15" t="n">
        <v>187</v>
      </c>
      <c r="B188" s="16" t="s">
        <v>76</v>
      </c>
      <c r="C188" s="15" t="s">
        <v>77</v>
      </c>
      <c r="D188" s="15" t="s">
        <v>78</v>
      </c>
      <c r="E188" s="17" t="s">
        <v>1290</v>
      </c>
      <c r="F188" s="15" t="s">
        <v>1244</v>
      </c>
      <c r="G188" s="15" t="s">
        <v>1291</v>
      </c>
      <c r="H188" s="15" t="s">
        <v>227</v>
      </c>
      <c r="I188" s="15" t="s">
        <v>646</v>
      </c>
      <c r="J188" s="15"/>
      <c r="K188" s="18"/>
      <c r="L188" s="18"/>
      <c r="M188" s="15" t="s">
        <v>94</v>
      </c>
      <c r="N188" s="15"/>
      <c r="O188" s="15"/>
      <c r="P188" s="15"/>
      <c r="Q188" s="15"/>
      <c r="R188" s="15"/>
      <c r="S188" s="15"/>
      <c r="T188" s="15"/>
      <c r="U188" s="15"/>
      <c r="V188" s="15"/>
      <c r="W188" s="15" t="s">
        <v>180</v>
      </c>
      <c r="X188" s="15"/>
      <c r="Y188" s="15"/>
      <c r="Z188" s="15" t="s">
        <v>321</v>
      </c>
      <c r="AA188" s="21" t="s">
        <v>94</v>
      </c>
      <c r="AB188" s="21" t="s">
        <v>94</v>
      </c>
      <c r="AC188" s="21" t="s">
        <v>94</v>
      </c>
      <c r="AD188" s="21" t="s">
        <v>94</v>
      </c>
      <c r="AE188" s="21" t="s">
        <v>94</v>
      </c>
      <c r="AF188" s="21" t="s">
        <v>94</v>
      </c>
      <c r="AG188" s="21" t="s">
        <v>94</v>
      </c>
      <c r="AH188" s="21" t="s">
        <v>94</v>
      </c>
      <c r="AI188" s="21" t="s">
        <v>94</v>
      </c>
    </row>
    <row r="189" customFormat="false" ht="57.75" hidden="false" customHeight="true" outlineLevel="0" collapsed="false">
      <c r="A189" s="22" t="n">
        <v>188</v>
      </c>
      <c r="B189" s="23" t="s">
        <v>76</v>
      </c>
      <c r="C189" s="22" t="s">
        <v>77</v>
      </c>
      <c r="D189" s="22" t="s">
        <v>78</v>
      </c>
      <c r="E189" s="24" t="s">
        <v>1292</v>
      </c>
      <c r="F189" s="22" t="s">
        <v>244</v>
      </c>
      <c r="G189" s="22" t="s">
        <v>1293</v>
      </c>
      <c r="H189" s="22" t="s">
        <v>227</v>
      </c>
      <c r="I189" s="22" t="s">
        <v>386</v>
      </c>
      <c r="J189" s="22"/>
      <c r="K189" s="25"/>
      <c r="L189" s="25"/>
      <c r="M189" s="22" t="s">
        <v>94</v>
      </c>
      <c r="N189" s="22"/>
      <c r="O189" s="22"/>
      <c r="P189" s="22"/>
      <c r="Q189" s="22"/>
      <c r="R189" s="22"/>
      <c r="S189" s="22"/>
      <c r="T189" s="19" t="s">
        <v>633</v>
      </c>
      <c r="U189" s="22"/>
      <c r="V189" s="22"/>
      <c r="W189" s="22" t="s">
        <v>1280</v>
      </c>
      <c r="X189" s="22"/>
      <c r="Y189" s="22"/>
      <c r="Z189" s="22" t="s">
        <v>321</v>
      </c>
      <c r="AA189" s="21" t="s">
        <v>94</v>
      </c>
      <c r="AB189" s="21" t="s">
        <v>94</v>
      </c>
      <c r="AC189" s="21" t="s">
        <v>94</v>
      </c>
      <c r="AD189" s="21" t="s">
        <v>94</v>
      </c>
      <c r="AE189" s="21" t="s">
        <v>94</v>
      </c>
      <c r="AF189" s="21" t="s">
        <v>94</v>
      </c>
      <c r="AG189" s="20" t="s">
        <v>93</v>
      </c>
      <c r="AH189" s="21" t="s">
        <v>94</v>
      </c>
      <c r="AI189" s="21" t="s">
        <v>94</v>
      </c>
    </row>
    <row r="190" customFormat="false" ht="57.75" hidden="false" customHeight="true" outlineLevel="0" collapsed="false">
      <c r="A190" s="15" t="n">
        <v>189</v>
      </c>
      <c r="B190" s="16" t="s">
        <v>76</v>
      </c>
      <c r="C190" s="15" t="s">
        <v>77</v>
      </c>
      <c r="D190" s="15" t="s">
        <v>78</v>
      </c>
      <c r="E190" s="17" t="s">
        <v>1294</v>
      </c>
      <c r="F190" s="15" t="s">
        <v>1295</v>
      </c>
      <c r="G190" s="15" t="s">
        <v>1296</v>
      </c>
      <c r="H190" s="15" t="s">
        <v>520</v>
      </c>
      <c r="I190" s="15" t="s">
        <v>1297</v>
      </c>
      <c r="J190" s="15" t="s">
        <v>1298</v>
      </c>
      <c r="K190" s="18"/>
      <c r="L190" s="18"/>
      <c r="M190" s="15" t="s">
        <v>85</v>
      </c>
      <c r="N190" s="15"/>
      <c r="O190" s="19" t="s">
        <v>1299</v>
      </c>
      <c r="P190" s="15"/>
      <c r="Q190" s="15"/>
      <c r="R190" s="19" t="s">
        <v>1300</v>
      </c>
      <c r="S190" s="15"/>
      <c r="T190" s="19" t="s">
        <v>633</v>
      </c>
      <c r="U190" s="15"/>
      <c r="V190" s="15"/>
      <c r="W190" s="15" t="s">
        <v>1301</v>
      </c>
      <c r="X190" s="15"/>
      <c r="Y190" s="15"/>
      <c r="Z190" s="15" t="s">
        <v>1302</v>
      </c>
      <c r="AA190" s="21" t="s">
        <v>94</v>
      </c>
      <c r="AB190" s="20" t="s">
        <v>93</v>
      </c>
      <c r="AC190" s="21" t="s">
        <v>94</v>
      </c>
      <c r="AD190" s="21" t="s">
        <v>94</v>
      </c>
      <c r="AE190" s="20" t="s">
        <v>93</v>
      </c>
      <c r="AF190" s="21" t="s">
        <v>94</v>
      </c>
      <c r="AG190" s="20" t="s">
        <v>93</v>
      </c>
      <c r="AH190" s="21" t="s">
        <v>94</v>
      </c>
      <c r="AI190" s="21" t="s">
        <v>94</v>
      </c>
    </row>
    <row r="191" customFormat="false" ht="57.75" hidden="false" customHeight="true" outlineLevel="0" collapsed="false">
      <c r="A191" s="22" t="n">
        <v>190</v>
      </c>
      <c r="B191" s="23" t="s">
        <v>76</v>
      </c>
      <c r="C191" s="22" t="s">
        <v>77</v>
      </c>
      <c r="D191" s="22" t="s">
        <v>78</v>
      </c>
      <c r="E191" s="24" t="s">
        <v>1303</v>
      </c>
      <c r="F191" s="22" t="s">
        <v>1303</v>
      </c>
      <c r="G191" s="22" t="s">
        <v>422</v>
      </c>
      <c r="H191" s="22" t="s">
        <v>520</v>
      </c>
      <c r="I191" s="22" t="s">
        <v>473</v>
      </c>
      <c r="J191" s="22"/>
      <c r="K191" s="25"/>
      <c r="L191" s="25"/>
      <c r="M191" s="22" t="s">
        <v>85</v>
      </c>
      <c r="N191" s="22"/>
      <c r="O191" s="22"/>
      <c r="P191" s="22"/>
      <c r="Q191" s="22"/>
      <c r="R191" s="22"/>
      <c r="S191" s="22"/>
      <c r="T191" s="19" t="s">
        <v>633</v>
      </c>
      <c r="U191" s="19" t="s">
        <v>1304</v>
      </c>
      <c r="V191" s="22"/>
      <c r="W191" s="22" t="s">
        <v>1305</v>
      </c>
      <c r="X191" s="22"/>
      <c r="Y191" s="22"/>
      <c r="Z191" s="22" t="s">
        <v>1306</v>
      </c>
      <c r="AA191" s="21" t="s">
        <v>94</v>
      </c>
      <c r="AB191" s="21" t="s">
        <v>94</v>
      </c>
      <c r="AC191" s="21" t="s">
        <v>94</v>
      </c>
      <c r="AD191" s="21" t="s">
        <v>94</v>
      </c>
      <c r="AE191" s="21" t="s">
        <v>94</v>
      </c>
      <c r="AF191" s="21" t="s">
        <v>94</v>
      </c>
      <c r="AG191" s="20" t="s">
        <v>93</v>
      </c>
      <c r="AH191" s="20" t="s">
        <v>93</v>
      </c>
      <c r="AI191" s="21" t="s">
        <v>94</v>
      </c>
    </row>
    <row r="192" customFormat="false" ht="57.75" hidden="false" customHeight="true" outlineLevel="0" collapsed="false">
      <c r="A192" s="15" t="n">
        <v>191</v>
      </c>
      <c r="B192" s="16" t="s">
        <v>76</v>
      </c>
      <c r="C192" s="15" t="s">
        <v>77</v>
      </c>
      <c r="D192" s="15" t="s">
        <v>78</v>
      </c>
      <c r="E192" s="17" t="s">
        <v>1307</v>
      </c>
      <c r="F192" s="15" t="s">
        <v>1295</v>
      </c>
      <c r="G192" s="15" t="s">
        <v>1308</v>
      </c>
      <c r="H192" s="15" t="s">
        <v>520</v>
      </c>
      <c r="I192" s="15" t="s">
        <v>1309</v>
      </c>
      <c r="J192" s="15"/>
      <c r="K192" s="18"/>
      <c r="L192" s="18"/>
      <c r="M192" s="15" t="s">
        <v>85</v>
      </c>
      <c r="N192" s="15"/>
      <c r="O192" s="19" t="s">
        <v>1310</v>
      </c>
      <c r="P192" s="15"/>
      <c r="Q192" s="15"/>
      <c r="R192" s="19" t="s">
        <v>1310</v>
      </c>
      <c r="S192" s="15"/>
      <c r="T192" s="19" t="s">
        <v>633</v>
      </c>
      <c r="U192" s="15"/>
      <c r="V192" s="19" t="s">
        <v>1311</v>
      </c>
      <c r="W192" s="15" t="s">
        <v>1312</v>
      </c>
      <c r="X192" s="15"/>
      <c r="Y192" s="15"/>
      <c r="Z192" s="15" t="s">
        <v>368</v>
      </c>
      <c r="AA192" s="21" t="s">
        <v>94</v>
      </c>
      <c r="AB192" s="20" t="s">
        <v>93</v>
      </c>
      <c r="AC192" s="21" t="s">
        <v>94</v>
      </c>
      <c r="AD192" s="21" t="s">
        <v>94</v>
      </c>
      <c r="AE192" s="20" t="s">
        <v>93</v>
      </c>
      <c r="AF192" s="21" t="s">
        <v>94</v>
      </c>
      <c r="AG192" s="20" t="s">
        <v>93</v>
      </c>
      <c r="AH192" s="21" t="s">
        <v>94</v>
      </c>
      <c r="AI192" s="20" t="s">
        <v>93</v>
      </c>
    </row>
    <row r="193" customFormat="false" ht="57.75" hidden="false" customHeight="true" outlineLevel="0" collapsed="false">
      <c r="A193" s="22" t="n">
        <v>192</v>
      </c>
      <c r="B193" s="23" t="s">
        <v>76</v>
      </c>
      <c r="C193" s="22" t="s">
        <v>77</v>
      </c>
      <c r="D193" s="22" t="s">
        <v>78</v>
      </c>
      <c r="E193" s="24" t="s">
        <v>1313</v>
      </c>
      <c r="F193" s="22" t="s">
        <v>1313</v>
      </c>
      <c r="G193" s="22" t="s">
        <v>1314</v>
      </c>
      <c r="H193" s="22" t="s">
        <v>82</v>
      </c>
      <c r="I193" s="22" t="s">
        <v>407</v>
      </c>
      <c r="J193" s="22"/>
      <c r="K193" s="25"/>
      <c r="L193" s="25"/>
      <c r="M193" s="22" t="s">
        <v>99</v>
      </c>
      <c r="N193" s="22"/>
      <c r="O193" s="19" t="s">
        <v>1315</v>
      </c>
      <c r="P193" s="22"/>
      <c r="Q193" s="22"/>
      <c r="R193" s="26" t="s">
        <v>1316</v>
      </c>
      <c r="S193" s="19" t="s">
        <v>89</v>
      </c>
      <c r="T193" s="19" t="s">
        <v>633</v>
      </c>
      <c r="U193" s="22"/>
      <c r="V193" s="22"/>
      <c r="W193" s="22" t="s">
        <v>180</v>
      </c>
      <c r="X193" s="22"/>
      <c r="Y193" s="22"/>
      <c r="Z193" s="22" t="s">
        <v>1317</v>
      </c>
      <c r="AA193" s="21" t="s">
        <v>94</v>
      </c>
      <c r="AB193" s="20" t="s">
        <v>93</v>
      </c>
      <c r="AC193" s="21" t="s">
        <v>94</v>
      </c>
      <c r="AD193" s="21" t="s">
        <v>94</v>
      </c>
      <c r="AE193" s="27" t="s">
        <v>213</v>
      </c>
      <c r="AF193" s="20" t="s">
        <v>93</v>
      </c>
      <c r="AG193" s="20" t="s">
        <v>93</v>
      </c>
      <c r="AH193" s="21" t="s">
        <v>94</v>
      </c>
      <c r="AI193" s="21" t="s">
        <v>94</v>
      </c>
    </row>
    <row r="194" customFormat="false" ht="57.75" hidden="false" customHeight="true" outlineLevel="0" collapsed="false">
      <c r="A194" s="15" t="n">
        <v>193</v>
      </c>
      <c r="B194" s="16" t="s">
        <v>76</v>
      </c>
      <c r="C194" s="15" t="s">
        <v>77</v>
      </c>
      <c r="D194" s="15" t="s">
        <v>78</v>
      </c>
      <c r="E194" s="17" t="s">
        <v>1318</v>
      </c>
      <c r="F194" s="15" t="s">
        <v>1319</v>
      </c>
      <c r="G194" s="15" t="s">
        <v>1320</v>
      </c>
      <c r="H194" s="15" t="s">
        <v>1321</v>
      </c>
      <c r="I194" s="15" t="s">
        <v>598</v>
      </c>
      <c r="J194" s="15"/>
      <c r="K194" s="18"/>
      <c r="L194" s="18"/>
      <c r="M194" s="15" t="s">
        <v>94</v>
      </c>
      <c r="N194" s="15"/>
      <c r="O194" s="15"/>
      <c r="P194" s="15"/>
      <c r="Q194" s="15"/>
      <c r="R194" s="15"/>
      <c r="S194" s="15"/>
      <c r="T194" s="19" t="s">
        <v>633</v>
      </c>
      <c r="U194" s="15"/>
      <c r="V194" s="15"/>
      <c r="W194" s="15" t="s">
        <v>1322</v>
      </c>
      <c r="X194" s="15"/>
      <c r="Y194" s="15"/>
      <c r="Z194" s="15" t="s">
        <v>242</v>
      </c>
      <c r="AA194" s="21" t="s">
        <v>94</v>
      </c>
      <c r="AB194" s="21" t="s">
        <v>94</v>
      </c>
      <c r="AC194" s="21" t="s">
        <v>94</v>
      </c>
      <c r="AD194" s="21" t="s">
        <v>94</v>
      </c>
      <c r="AE194" s="21" t="s">
        <v>94</v>
      </c>
      <c r="AF194" s="21" t="s">
        <v>94</v>
      </c>
      <c r="AG194" s="20" t="s">
        <v>93</v>
      </c>
      <c r="AH194" s="21" t="s">
        <v>94</v>
      </c>
      <c r="AI194" s="21" t="s">
        <v>94</v>
      </c>
    </row>
    <row r="195" customFormat="false" ht="57.75" hidden="false" customHeight="true" outlineLevel="0" collapsed="false">
      <c r="A195" s="22" t="n">
        <v>194</v>
      </c>
      <c r="B195" s="23" t="s">
        <v>76</v>
      </c>
      <c r="C195" s="22" t="s">
        <v>77</v>
      </c>
      <c r="D195" s="22" t="s">
        <v>78</v>
      </c>
      <c r="E195" s="24" t="s">
        <v>1323</v>
      </c>
      <c r="F195" s="22" t="s">
        <v>1324</v>
      </c>
      <c r="G195" s="22" t="s">
        <v>1325</v>
      </c>
      <c r="H195" s="22" t="s">
        <v>520</v>
      </c>
      <c r="I195" s="22" t="s">
        <v>1326</v>
      </c>
      <c r="J195" s="22"/>
      <c r="K195" s="25"/>
      <c r="L195" s="25"/>
      <c r="M195" s="22" t="s">
        <v>85</v>
      </c>
      <c r="N195" s="22"/>
      <c r="O195" s="22"/>
      <c r="P195" s="19" t="s">
        <v>580</v>
      </c>
      <c r="Q195" s="19" t="s">
        <v>165</v>
      </c>
      <c r="R195" s="26" t="s">
        <v>1327</v>
      </c>
      <c r="S195" s="22"/>
      <c r="T195" s="22"/>
      <c r="U195" s="19" t="s">
        <v>1141</v>
      </c>
      <c r="V195" s="26" t="s">
        <v>1328</v>
      </c>
      <c r="W195" s="22" t="s">
        <v>1329</v>
      </c>
      <c r="X195" s="22"/>
      <c r="Y195" s="22"/>
      <c r="Z195" s="22" t="s">
        <v>1330</v>
      </c>
      <c r="AA195" s="21" t="s">
        <v>94</v>
      </c>
      <c r="AB195" s="21" t="s">
        <v>94</v>
      </c>
      <c r="AC195" s="20" t="s">
        <v>93</v>
      </c>
      <c r="AD195" s="20" t="s">
        <v>93</v>
      </c>
      <c r="AE195" s="27" t="s">
        <v>213</v>
      </c>
      <c r="AF195" s="21" t="s">
        <v>94</v>
      </c>
      <c r="AG195" s="21" t="s">
        <v>94</v>
      </c>
      <c r="AH195" s="20" t="s">
        <v>93</v>
      </c>
      <c r="AI195" s="27" t="s">
        <v>213</v>
      </c>
    </row>
    <row r="196" customFormat="false" ht="57.75" hidden="false" customHeight="true" outlineLevel="0" collapsed="false">
      <c r="A196" s="15" t="n">
        <v>195</v>
      </c>
      <c r="B196" s="16" t="s">
        <v>76</v>
      </c>
      <c r="C196" s="15" t="s">
        <v>77</v>
      </c>
      <c r="D196" s="15" t="s">
        <v>78</v>
      </c>
      <c r="E196" s="17" t="s">
        <v>1331</v>
      </c>
      <c r="F196" s="15" t="s">
        <v>1319</v>
      </c>
      <c r="G196" s="15" t="s">
        <v>1332</v>
      </c>
      <c r="H196" s="15" t="s">
        <v>1321</v>
      </c>
      <c r="I196" s="15" t="s">
        <v>695</v>
      </c>
      <c r="J196" s="15"/>
      <c r="K196" s="18"/>
      <c r="L196" s="18"/>
      <c r="M196" s="15" t="s">
        <v>94</v>
      </c>
      <c r="N196" s="15"/>
      <c r="O196" s="15"/>
      <c r="P196" s="15"/>
      <c r="Q196" s="15"/>
      <c r="R196" s="15"/>
      <c r="S196" s="19" t="s">
        <v>89</v>
      </c>
      <c r="T196" s="15"/>
      <c r="U196" s="15"/>
      <c r="V196" s="15"/>
      <c r="W196" s="15" t="s">
        <v>1333</v>
      </c>
      <c r="X196" s="15"/>
      <c r="Y196" s="15"/>
      <c r="Z196" s="15" t="s">
        <v>518</v>
      </c>
      <c r="AA196" s="21" t="s">
        <v>94</v>
      </c>
      <c r="AB196" s="21" t="s">
        <v>94</v>
      </c>
      <c r="AC196" s="21" t="s">
        <v>94</v>
      </c>
      <c r="AD196" s="21" t="s">
        <v>94</v>
      </c>
      <c r="AE196" s="21" t="s">
        <v>94</v>
      </c>
      <c r="AF196" s="20" t="s">
        <v>93</v>
      </c>
      <c r="AG196" s="21" t="s">
        <v>94</v>
      </c>
      <c r="AH196" s="21" t="s">
        <v>94</v>
      </c>
      <c r="AI196" s="21" t="s">
        <v>94</v>
      </c>
    </row>
    <row r="197" customFormat="false" ht="57.75" hidden="false" customHeight="true" outlineLevel="0" collapsed="false">
      <c r="A197" s="22" t="n">
        <v>196</v>
      </c>
      <c r="B197" s="23" t="s">
        <v>76</v>
      </c>
      <c r="C197" s="22" t="s">
        <v>77</v>
      </c>
      <c r="D197" s="22" t="s">
        <v>78</v>
      </c>
      <c r="E197" s="24" t="s">
        <v>1334</v>
      </c>
      <c r="F197" s="22" t="s">
        <v>1335</v>
      </c>
      <c r="G197" s="22" t="s">
        <v>1336</v>
      </c>
      <c r="H197" s="22" t="s">
        <v>1337</v>
      </c>
      <c r="I197" s="22" t="s">
        <v>1338</v>
      </c>
      <c r="J197" s="22"/>
      <c r="K197" s="25"/>
      <c r="L197" s="25"/>
      <c r="M197" s="22" t="s">
        <v>94</v>
      </c>
      <c r="N197" s="19" t="s">
        <v>54</v>
      </c>
      <c r="O197" s="19" t="s">
        <v>1339</v>
      </c>
      <c r="P197" s="22"/>
      <c r="Q197" s="19" t="s">
        <v>165</v>
      </c>
      <c r="R197" s="26" t="s">
        <v>1340</v>
      </c>
      <c r="S197" s="22"/>
      <c r="T197" s="22"/>
      <c r="U197" s="19" t="s">
        <v>1341</v>
      </c>
      <c r="V197" s="26" t="s">
        <v>1342</v>
      </c>
      <c r="W197" s="22" t="s">
        <v>1162</v>
      </c>
      <c r="X197" s="22"/>
      <c r="Y197" s="22"/>
      <c r="Z197" s="22" t="s">
        <v>341</v>
      </c>
      <c r="AA197" s="20" t="s">
        <v>93</v>
      </c>
      <c r="AB197" s="20" t="s">
        <v>93</v>
      </c>
      <c r="AC197" s="21" t="s">
        <v>94</v>
      </c>
      <c r="AD197" s="20" t="s">
        <v>93</v>
      </c>
      <c r="AE197" s="27" t="s">
        <v>213</v>
      </c>
      <c r="AF197" s="21" t="s">
        <v>94</v>
      </c>
      <c r="AG197" s="21" t="s">
        <v>94</v>
      </c>
      <c r="AH197" s="20" t="s">
        <v>93</v>
      </c>
      <c r="AI197" s="27" t="s">
        <v>213</v>
      </c>
    </row>
    <row r="198" customFormat="false" ht="57.75" hidden="false" customHeight="true" outlineLevel="0" collapsed="false">
      <c r="A198" s="15" t="n">
        <v>197</v>
      </c>
      <c r="B198" s="16" t="s">
        <v>76</v>
      </c>
      <c r="C198" s="15" t="s">
        <v>77</v>
      </c>
      <c r="D198" s="15" t="s">
        <v>78</v>
      </c>
      <c r="E198" s="17" t="s">
        <v>1343</v>
      </c>
      <c r="F198" s="15" t="s">
        <v>1344</v>
      </c>
      <c r="G198" s="15" t="s">
        <v>1345</v>
      </c>
      <c r="H198" s="15" t="s">
        <v>82</v>
      </c>
      <c r="I198" s="15" t="s">
        <v>1346</v>
      </c>
      <c r="J198" s="15"/>
      <c r="K198" s="18"/>
      <c r="L198" s="18"/>
      <c r="M198" s="15" t="s">
        <v>99</v>
      </c>
      <c r="N198" s="15"/>
      <c r="O198" s="19" t="s">
        <v>1347</v>
      </c>
      <c r="P198" s="19" t="s">
        <v>1348</v>
      </c>
      <c r="Q198" s="19" t="s">
        <v>124</v>
      </c>
      <c r="R198" s="26" t="s">
        <v>1349</v>
      </c>
      <c r="S198" s="19" t="s">
        <v>1350</v>
      </c>
      <c r="T198" s="19" t="s">
        <v>633</v>
      </c>
      <c r="U198" s="19" t="s">
        <v>1141</v>
      </c>
      <c r="V198" s="15"/>
      <c r="W198" s="15" t="s">
        <v>1351</v>
      </c>
      <c r="X198" s="15"/>
      <c r="Y198" s="15"/>
      <c r="Z198" s="15" t="s">
        <v>857</v>
      </c>
      <c r="AA198" s="21" t="s">
        <v>94</v>
      </c>
      <c r="AB198" s="20" t="s">
        <v>93</v>
      </c>
      <c r="AC198" s="20" t="s">
        <v>93</v>
      </c>
      <c r="AD198" s="20" t="s">
        <v>93</v>
      </c>
      <c r="AE198" s="27" t="s">
        <v>213</v>
      </c>
      <c r="AF198" s="20" t="s">
        <v>93</v>
      </c>
      <c r="AG198" s="20" t="s">
        <v>93</v>
      </c>
      <c r="AH198" s="20" t="s">
        <v>93</v>
      </c>
      <c r="AI198" s="21" t="s">
        <v>94</v>
      </c>
    </row>
    <row r="199" customFormat="false" ht="57.75" hidden="false" customHeight="true" outlineLevel="0" collapsed="false">
      <c r="A199" s="22" t="n">
        <v>198</v>
      </c>
      <c r="B199" s="23" t="s">
        <v>76</v>
      </c>
      <c r="C199" s="22" t="s">
        <v>77</v>
      </c>
      <c r="D199" s="22" t="s">
        <v>78</v>
      </c>
      <c r="E199" s="24" t="s">
        <v>1352</v>
      </c>
      <c r="F199" s="22" t="s">
        <v>1353</v>
      </c>
      <c r="G199" s="22" t="s">
        <v>1345</v>
      </c>
      <c r="H199" s="22" t="s">
        <v>227</v>
      </c>
      <c r="I199" s="22" t="s">
        <v>1354</v>
      </c>
      <c r="J199" s="22"/>
      <c r="K199" s="25"/>
      <c r="L199" s="25"/>
      <c r="M199" s="22" t="s">
        <v>94</v>
      </c>
      <c r="N199" s="22"/>
      <c r="O199" s="19" t="s">
        <v>1355</v>
      </c>
      <c r="P199" s="19" t="s">
        <v>1356</v>
      </c>
      <c r="Q199" s="26" t="s">
        <v>1357</v>
      </c>
      <c r="R199" s="19" t="s">
        <v>1358</v>
      </c>
      <c r="S199" s="22"/>
      <c r="T199" s="19" t="s">
        <v>633</v>
      </c>
      <c r="U199" s="22"/>
      <c r="V199" s="22"/>
      <c r="W199" s="22" t="s">
        <v>1359</v>
      </c>
      <c r="X199" s="22"/>
      <c r="Y199" s="22"/>
      <c r="Z199" s="22" t="s">
        <v>805</v>
      </c>
      <c r="AA199" s="21" t="s">
        <v>94</v>
      </c>
      <c r="AB199" s="20" t="s">
        <v>93</v>
      </c>
      <c r="AC199" s="20" t="s">
        <v>93</v>
      </c>
      <c r="AD199" s="27" t="s">
        <v>213</v>
      </c>
      <c r="AE199" s="20" t="s">
        <v>93</v>
      </c>
      <c r="AF199" s="21" t="s">
        <v>94</v>
      </c>
      <c r="AG199" s="20" t="s">
        <v>93</v>
      </c>
      <c r="AH199" s="21" t="s">
        <v>94</v>
      </c>
      <c r="AI199" s="21" t="s">
        <v>94</v>
      </c>
    </row>
    <row r="200" customFormat="false" ht="57.75" hidden="false" customHeight="true" outlineLevel="0" collapsed="false">
      <c r="A200" s="15" t="n">
        <v>199</v>
      </c>
      <c r="B200" s="16" t="s">
        <v>76</v>
      </c>
      <c r="C200" s="15" t="s">
        <v>77</v>
      </c>
      <c r="D200" s="15" t="s">
        <v>78</v>
      </c>
      <c r="E200" s="17" t="s">
        <v>1360</v>
      </c>
      <c r="F200" s="15" t="s">
        <v>1361</v>
      </c>
      <c r="G200" s="15" t="s">
        <v>1345</v>
      </c>
      <c r="H200" s="15" t="s">
        <v>520</v>
      </c>
      <c r="I200" s="15" t="s">
        <v>1362</v>
      </c>
      <c r="J200" s="15"/>
      <c r="K200" s="18"/>
      <c r="L200" s="18"/>
      <c r="M200" s="15" t="s">
        <v>85</v>
      </c>
      <c r="N200" s="15"/>
      <c r="O200" s="19" t="s">
        <v>1363</v>
      </c>
      <c r="P200" s="19" t="s">
        <v>1348</v>
      </c>
      <c r="Q200" s="15"/>
      <c r="R200" s="26" t="s">
        <v>1364</v>
      </c>
      <c r="S200" s="19" t="s">
        <v>1365</v>
      </c>
      <c r="T200" s="19" t="s">
        <v>633</v>
      </c>
      <c r="U200" s="15"/>
      <c r="V200" s="15"/>
      <c r="W200" s="15" t="s">
        <v>1366</v>
      </c>
      <c r="X200" s="15"/>
      <c r="Y200" s="15"/>
      <c r="Z200" s="15" t="s">
        <v>1367</v>
      </c>
      <c r="AA200" s="21" t="s">
        <v>94</v>
      </c>
      <c r="AB200" s="20" t="s">
        <v>93</v>
      </c>
      <c r="AC200" s="20" t="s">
        <v>93</v>
      </c>
      <c r="AD200" s="21" t="s">
        <v>94</v>
      </c>
      <c r="AE200" s="27" t="s">
        <v>213</v>
      </c>
      <c r="AF200" s="20" t="s">
        <v>93</v>
      </c>
      <c r="AG200" s="20" t="s">
        <v>93</v>
      </c>
      <c r="AH200" s="21" t="s">
        <v>94</v>
      </c>
      <c r="AI200" s="21" t="s">
        <v>94</v>
      </c>
    </row>
    <row r="201" customFormat="false" ht="57.75" hidden="false" customHeight="true" outlineLevel="0" collapsed="false">
      <c r="A201" s="22" t="n">
        <v>200</v>
      </c>
      <c r="B201" s="23" t="s">
        <v>76</v>
      </c>
      <c r="C201" s="22" t="s">
        <v>77</v>
      </c>
      <c r="D201" s="22" t="s">
        <v>78</v>
      </c>
      <c r="E201" s="24" t="s">
        <v>1368</v>
      </c>
      <c r="F201" s="22"/>
      <c r="G201" s="22" t="s">
        <v>1369</v>
      </c>
      <c r="H201" s="22" t="s">
        <v>520</v>
      </c>
      <c r="I201" s="22" t="s">
        <v>1370</v>
      </c>
      <c r="J201" s="22"/>
      <c r="K201" s="25"/>
      <c r="L201" s="25"/>
      <c r="M201" s="22" t="s">
        <v>85</v>
      </c>
      <c r="N201" s="19" t="s">
        <v>54</v>
      </c>
      <c r="O201" s="22"/>
      <c r="P201" s="19" t="s">
        <v>1371</v>
      </c>
      <c r="Q201" s="19" t="s">
        <v>1372</v>
      </c>
      <c r="R201" s="19" t="s">
        <v>1373</v>
      </c>
      <c r="S201" s="19" t="s">
        <v>1374</v>
      </c>
      <c r="T201" s="19" t="s">
        <v>633</v>
      </c>
      <c r="U201" s="26" t="s">
        <v>1375</v>
      </c>
      <c r="V201" s="22"/>
      <c r="W201" s="22" t="s">
        <v>1376</v>
      </c>
      <c r="X201" s="22"/>
      <c r="Y201" s="22"/>
      <c r="Z201" s="22" t="s">
        <v>419</v>
      </c>
      <c r="AA201" s="20" t="s">
        <v>93</v>
      </c>
      <c r="AB201" s="21" t="s">
        <v>94</v>
      </c>
      <c r="AC201" s="20" t="s">
        <v>93</v>
      </c>
      <c r="AD201" s="20" t="s">
        <v>93</v>
      </c>
      <c r="AE201" s="20" t="s">
        <v>93</v>
      </c>
      <c r="AF201" s="20" t="s">
        <v>93</v>
      </c>
      <c r="AG201" s="20" t="s">
        <v>93</v>
      </c>
      <c r="AH201" s="27" t="s">
        <v>213</v>
      </c>
      <c r="AI201" s="21" t="s">
        <v>94</v>
      </c>
    </row>
    <row r="202" customFormat="false" ht="57.75" hidden="false" customHeight="true" outlineLevel="0" collapsed="false">
      <c r="A202" s="15" t="n">
        <v>201</v>
      </c>
      <c r="B202" s="16" t="s">
        <v>76</v>
      </c>
      <c r="C202" s="15" t="s">
        <v>77</v>
      </c>
      <c r="D202" s="15" t="s">
        <v>78</v>
      </c>
      <c r="E202" s="17" t="s">
        <v>1377</v>
      </c>
      <c r="F202" s="15" t="s">
        <v>1361</v>
      </c>
      <c r="G202" s="15" t="s">
        <v>1378</v>
      </c>
      <c r="H202" s="15" t="s">
        <v>520</v>
      </c>
      <c r="I202" s="15" t="s">
        <v>1379</v>
      </c>
      <c r="J202" s="15"/>
      <c r="K202" s="18"/>
      <c r="L202" s="18"/>
      <c r="M202" s="15" t="s">
        <v>85</v>
      </c>
      <c r="N202" s="15"/>
      <c r="O202" s="19" t="s">
        <v>1380</v>
      </c>
      <c r="P202" s="19" t="s">
        <v>1348</v>
      </c>
      <c r="Q202" s="15"/>
      <c r="R202" s="19" t="s">
        <v>1381</v>
      </c>
      <c r="S202" s="15"/>
      <c r="T202" s="15"/>
      <c r="U202" s="15"/>
      <c r="V202" s="15"/>
      <c r="W202" s="15" t="s">
        <v>1382</v>
      </c>
      <c r="X202" s="15"/>
      <c r="Y202" s="15"/>
      <c r="Z202" s="15" t="s">
        <v>321</v>
      </c>
      <c r="AA202" s="21" t="s">
        <v>94</v>
      </c>
      <c r="AB202" s="20" t="s">
        <v>93</v>
      </c>
      <c r="AC202" s="20" t="s">
        <v>93</v>
      </c>
      <c r="AD202" s="21" t="s">
        <v>94</v>
      </c>
      <c r="AE202" s="20" t="s">
        <v>93</v>
      </c>
      <c r="AF202" s="21" t="s">
        <v>94</v>
      </c>
      <c r="AG202" s="21" t="s">
        <v>94</v>
      </c>
      <c r="AH202" s="21" t="s">
        <v>94</v>
      </c>
      <c r="AI202" s="21" t="s">
        <v>94</v>
      </c>
    </row>
    <row r="203" customFormat="false" ht="57.75" hidden="false" customHeight="true" outlineLevel="0" collapsed="false">
      <c r="A203" s="22" t="n">
        <v>202</v>
      </c>
      <c r="B203" s="23" t="s">
        <v>76</v>
      </c>
      <c r="C203" s="22" t="s">
        <v>77</v>
      </c>
      <c r="D203" s="22" t="s">
        <v>78</v>
      </c>
      <c r="E203" s="24" t="s">
        <v>1383</v>
      </c>
      <c r="F203" s="22" t="s">
        <v>235</v>
      </c>
      <c r="G203" s="22" t="s">
        <v>1384</v>
      </c>
      <c r="H203" s="22" t="s">
        <v>1385</v>
      </c>
      <c r="I203" s="22" t="s">
        <v>571</v>
      </c>
      <c r="J203" s="22" t="s">
        <v>1386</v>
      </c>
      <c r="K203" s="25" t="n">
        <v>2749</v>
      </c>
      <c r="L203" s="25" t="n">
        <v>2749</v>
      </c>
      <c r="M203" s="22" t="s">
        <v>94</v>
      </c>
      <c r="N203" s="22"/>
      <c r="O203" s="22"/>
      <c r="P203" s="22"/>
      <c r="Q203" s="26" t="s">
        <v>1387</v>
      </c>
      <c r="R203" s="19" t="s">
        <v>1388</v>
      </c>
      <c r="S203" s="22"/>
      <c r="T203" s="19" t="s">
        <v>633</v>
      </c>
      <c r="U203" s="19" t="s">
        <v>923</v>
      </c>
      <c r="V203" s="22"/>
      <c r="W203" s="22" t="s">
        <v>1162</v>
      </c>
      <c r="X203" s="22"/>
      <c r="Y203" s="22"/>
      <c r="Z203" s="22" t="s">
        <v>169</v>
      </c>
      <c r="AA203" s="21" t="s">
        <v>94</v>
      </c>
      <c r="AB203" s="21" t="s">
        <v>94</v>
      </c>
      <c r="AC203" s="21" t="s">
        <v>94</v>
      </c>
      <c r="AD203" s="27" t="s">
        <v>213</v>
      </c>
      <c r="AE203" s="20" t="s">
        <v>93</v>
      </c>
      <c r="AF203" s="21" t="s">
        <v>94</v>
      </c>
      <c r="AG203" s="20" t="s">
        <v>93</v>
      </c>
      <c r="AH203" s="20" t="s">
        <v>93</v>
      </c>
      <c r="AI203" s="21" t="s">
        <v>94</v>
      </c>
    </row>
    <row r="204" customFormat="false" ht="57.75" hidden="false" customHeight="true" outlineLevel="0" collapsed="false">
      <c r="A204" s="15" t="n">
        <v>203</v>
      </c>
      <c r="B204" s="16" t="s">
        <v>76</v>
      </c>
      <c r="C204" s="15" t="s">
        <v>77</v>
      </c>
      <c r="D204" s="15" t="s">
        <v>78</v>
      </c>
      <c r="E204" s="17" t="s">
        <v>1389</v>
      </c>
      <c r="F204" s="15" t="s">
        <v>1390</v>
      </c>
      <c r="G204" s="15" t="s">
        <v>1391</v>
      </c>
      <c r="H204" s="15" t="s">
        <v>817</v>
      </c>
      <c r="I204" s="15" t="s">
        <v>1392</v>
      </c>
      <c r="J204" s="15" t="s">
        <v>1393</v>
      </c>
      <c r="K204" s="18" t="n">
        <v>515</v>
      </c>
      <c r="L204" s="18" t="n">
        <v>578</v>
      </c>
      <c r="M204" s="15" t="s">
        <v>85</v>
      </c>
      <c r="N204" s="15"/>
      <c r="O204" s="19" t="s">
        <v>1394</v>
      </c>
      <c r="P204" s="26" t="s">
        <v>1395</v>
      </c>
      <c r="Q204" s="15"/>
      <c r="R204" s="19" t="s">
        <v>1396</v>
      </c>
      <c r="S204" s="19" t="s">
        <v>1397</v>
      </c>
      <c r="T204" s="19" t="s">
        <v>633</v>
      </c>
      <c r="U204" s="19" t="s">
        <v>1398</v>
      </c>
      <c r="V204" s="15"/>
      <c r="W204" s="15" t="s">
        <v>534</v>
      </c>
      <c r="X204" s="15"/>
      <c r="Y204" s="15"/>
      <c r="Z204" s="15" t="s">
        <v>770</v>
      </c>
      <c r="AA204" s="21" t="s">
        <v>94</v>
      </c>
      <c r="AB204" s="20" t="s">
        <v>93</v>
      </c>
      <c r="AC204" s="27" t="s">
        <v>213</v>
      </c>
      <c r="AD204" s="21" t="s">
        <v>94</v>
      </c>
      <c r="AE204" s="20" t="s">
        <v>93</v>
      </c>
      <c r="AF204" s="20" t="s">
        <v>93</v>
      </c>
      <c r="AG204" s="20" t="s">
        <v>93</v>
      </c>
      <c r="AH204" s="20" t="s">
        <v>93</v>
      </c>
      <c r="AI204" s="21" t="s">
        <v>94</v>
      </c>
    </row>
    <row r="205" customFormat="false" ht="57.75" hidden="false" customHeight="true" outlineLevel="0" collapsed="false">
      <c r="A205" s="22" t="n">
        <v>204</v>
      </c>
      <c r="B205" s="23" t="s">
        <v>76</v>
      </c>
      <c r="C205" s="22" t="s">
        <v>77</v>
      </c>
      <c r="D205" s="22" t="s">
        <v>78</v>
      </c>
      <c r="E205" s="24" t="s">
        <v>1399</v>
      </c>
      <c r="F205" s="22" t="s">
        <v>504</v>
      </c>
      <c r="G205" s="22" t="s">
        <v>1391</v>
      </c>
      <c r="H205" s="22" t="s">
        <v>1321</v>
      </c>
      <c r="I205" s="22" t="s">
        <v>1400</v>
      </c>
      <c r="J205" s="22"/>
      <c r="K205" s="25"/>
      <c r="L205" s="25"/>
      <c r="M205" s="22" t="s">
        <v>94</v>
      </c>
      <c r="N205" s="19" t="s">
        <v>54</v>
      </c>
      <c r="O205" s="19" t="s">
        <v>1380</v>
      </c>
      <c r="P205" s="26" t="s">
        <v>1401</v>
      </c>
      <c r="Q205" s="22"/>
      <c r="R205" s="19" t="s">
        <v>1402</v>
      </c>
      <c r="S205" s="19" t="s">
        <v>89</v>
      </c>
      <c r="T205" s="19" t="s">
        <v>633</v>
      </c>
      <c r="U205" s="22"/>
      <c r="V205" s="22"/>
      <c r="W205" s="22" t="s">
        <v>180</v>
      </c>
      <c r="X205" s="22"/>
      <c r="Y205" s="22"/>
      <c r="Z205" s="22" t="s">
        <v>735</v>
      </c>
      <c r="AA205" s="20" t="s">
        <v>93</v>
      </c>
      <c r="AB205" s="20" t="s">
        <v>93</v>
      </c>
      <c r="AC205" s="27" t="s">
        <v>213</v>
      </c>
      <c r="AD205" s="21" t="s">
        <v>94</v>
      </c>
      <c r="AE205" s="20" t="s">
        <v>93</v>
      </c>
      <c r="AF205" s="20" t="s">
        <v>93</v>
      </c>
      <c r="AG205" s="20" t="s">
        <v>93</v>
      </c>
      <c r="AH205" s="21" t="s">
        <v>94</v>
      </c>
      <c r="AI205" s="21" t="s">
        <v>94</v>
      </c>
    </row>
    <row r="206" customFormat="false" ht="57.75" hidden="false" customHeight="true" outlineLevel="0" collapsed="false">
      <c r="A206" s="15" t="n">
        <v>205</v>
      </c>
      <c r="B206" s="16" t="s">
        <v>76</v>
      </c>
      <c r="C206" s="15" t="s">
        <v>77</v>
      </c>
      <c r="D206" s="15" t="s">
        <v>78</v>
      </c>
      <c r="E206" s="17" t="s">
        <v>1403</v>
      </c>
      <c r="F206" s="15" t="s">
        <v>235</v>
      </c>
      <c r="G206" s="15" t="s">
        <v>1391</v>
      </c>
      <c r="H206" s="15" t="s">
        <v>1385</v>
      </c>
      <c r="I206" s="15" t="s">
        <v>238</v>
      </c>
      <c r="J206" s="15" t="s">
        <v>1404</v>
      </c>
      <c r="K206" s="18" t="n">
        <v>2409</v>
      </c>
      <c r="L206" s="18" t="n">
        <v>2409</v>
      </c>
      <c r="M206" s="15" t="s">
        <v>94</v>
      </c>
      <c r="N206" s="15"/>
      <c r="O206" s="15"/>
      <c r="P206" s="15"/>
      <c r="Q206" s="26" t="s">
        <v>1387</v>
      </c>
      <c r="R206" s="19" t="s">
        <v>1388</v>
      </c>
      <c r="S206" s="15"/>
      <c r="T206" s="19" t="s">
        <v>633</v>
      </c>
      <c r="U206" s="19" t="s">
        <v>923</v>
      </c>
      <c r="V206" s="15"/>
      <c r="W206" s="15" t="s">
        <v>1162</v>
      </c>
      <c r="X206" s="15"/>
      <c r="Y206" s="15"/>
      <c r="Z206" s="15" t="s">
        <v>735</v>
      </c>
      <c r="AA206" s="21" t="s">
        <v>94</v>
      </c>
      <c r="AB206" s="21" t="s">
        <v>94</v>
      </c>
      <c r="AC206" s="21" t="s">
        <v>94</v>
      </c>
      <c r="AD206" s="27" t="s">
        <v>213</v>
      </c>
      <c r="AE206" s="20" t="s">
        <v>93</v>
      </c>
      <c r="AF206" s="21" t="s">
        <v>94</v>
      </c>
      <c r="AG206" s="20" t="s">
        <v>93</v>
      </c>
      <c r="AH206" s="20" t="s">
        <v>93</v>
      </c>
      <c r="AI206" s="21" t="s">
        <v>94</v>
      </c>
    </row>
    <row r="207" customFormat="false" ht="57.75" hidden="false" customHeight="true" outlineLevel="0" collapsed="false">
      <c r="A207" s="22" t="n">
        <v>206</v>
      </c>
      <c r="B207" s="23" t="s">
        <v>76</v>
      </c>
      <c r="C207" s="22" t="s">
        <v>77</v>
      </c>
      <c r="D207" s="22" t="s">
        <v>78</v>
      </c>
      <c r="E207" s="24" t="s">
        <v>1405</v>
      </c>
      <c r="F207" s="22" t="s">
        <v>528</v>
      </c>
      <c r="G207" s="22" t="s">
        <v>1391</v>
      </c>
      <c r="H207" s="22" t="s">
        <v>82</v>
      </c>
      <c r="I207" s="22" t="s">
        <v>1406</v>
      </c>
      <c r="J207" s="22"/>
      <c r="K207" s="25"/>
      <c r="L207" s="25"/>
      <c r="M207" s="22" t="s">
        <v>99</v>
      </c>
      <c r="N207" s="22"/>
      <c r="O207" s="22"/>
      <c r="P207" s="22"/>
      <c r="Q207" s="19" t="s">
        <v>1407</v>
      </c>
      <c r="R207" s="26" t="s">
        <v>1408</v>
      </c>
      <c r="S207" s="19" t="s">
        <v>1409</v>
      </c>
      <c r="T207" s="19" t="s">
        <v>633</v>
      </c>
      <c r="U207" s="22"/>
      <c r="V207" s="19" t="s">
        <v>533</v>
      </c>
      <c r="W207" s="22" t="s">
        <v>1410</v>
      </c>
      <c r="X207" s="22"/>
      <c r="Y207" s="22"/>
      <c r="Z207" s="22" t="s">
        <v>1411</v>
      </c>
      <c r="AA207" s="21" t="s">
        <v>94</v>
      </c>
      <c r="AB207" s="21" t="s">
        <v>94</v>
      </c>
      <c r="AC207" s="21" t="s">
        <v>94</v>
      </c>
      <c r="AD207" s="20" t="s">
        <v>93</v>
      </c>
      <c r="AE207" s="27" t="s">
        <v>213</v>
      </c>
      <c r="AF207" s="20" t="s">
        <v>93</v>
      </c>
      <c r="AG207" s="20" t="s">
        <v>93</v>
      </c>
      <c r="AH207" s="21" t="s">
        <v>94</v>
      </c>
      <c r="AI207" s="20" t="s">
        <v>93</v>
      </c>
    </row>
    <row r="208" customFormat="false" ht="57.75" hidden="false" customHeight="true" outlineLevel="0" collapsed="false">
      <c r="A208" s="15" t="n">
        <v>207</v>
      </c>
      <c r="B208" s="16" t="s">
        <v>76</v>
      </c>
      <c r="C208" s="15" t="s">
        <v>77</v>
      </c>
      <c r="D208" s="15" t="s">
        <v>78</v>
      </c>
      <c r="E208" s="17" t="s">
        <v>1412</v>
      </c>
      <c r="F208" s="15" t="s">
        <v>235</v>
      </c>
      <c r="G208" s="15" t="s">
        <v>1391</v>
      </c>
      <c r="H208" s="15" t="s">
        <v>1413</v>
      </c>
      <c r="I208" s="15" t="s">
        <v>1414</v>
      </c>
      <c r="J208" s="15"/>
      <c r="K208" s="18"/>
      <c r="L208" s="18"/>
      <c r="M208" s="15" t="s">
        <v>94</v>
      </c>
      <c r="N208" s="15"/>
      <c r="O208" s="15"/>
      <c r="P208" s="26" t="s">
        <v>1415</v>
      </c>
      <c r="Q208" s="26" t="s">
        <v>1416</v>
      </c>
      <c r="R208" s="26" t="s">
        <v>1417</v>
      </c>
      <c r="S208" s="15"/>
      <c r="T208" s="19" t="s">
        <v>633</v>
      </c>
      <c r="U208" s="15"/>
      <c r="V208" s="15"/>
      <c r="W208" s="15" t="s">
        <v>534</v>
      </c>
      <c r="X208" s="15"/>
      <c r="Y208" s="15"/>
      <c r="Z208" s="15" t="s">
        <v>1418</v>
      </c>
      <c r="AA208" s="21" t="s">
        <v>94</v>
      </c>
      <c r="AB208" s="21" t="s">
        <v>94</v>
      </c>
      <c r="AC208" s="27" t="s">
        <v>213</v>
      </c>
      <c r="AD208" s="27" t="s">
        <v>213</v>
      </c>
      <c r="AE208" s="27" t="s">
        <v>213</v>
      </c>
      <c r="AF208" s="21" t="s">
        <v>94</v>
      </c>
      <c r="AG208" s="20" t="s">
        <v>93</v>
      </c>
      <c r="AH208" s="21" t="s">
        <v>94</v>
      </c>
      <c r="AI208" s="21" t="s">
        <v>94</v>
      </c>
    </row>
    <row r="209" customFormat="false" ht="57.75" hidden="false" customHeight="true" outlineLevel="0" collapsed="false">
      <c r="A209" s="22" t="n">
        <v>208</v>
      </c>
      <c r="B209" s="23" t="s">
        <v>76</v>
      </c>
      <c r="C209" s="22" t="s">
        <v>77</v>
      </c>
      <c r="D209" s="22" t="s">
        <v>78</v>
      </c>
      <c r="E209" s="24" t="s">
        <v>1419</v>
      </c>
      <c r="F209" s="22" t="s">
        <v>1420</v>
      </c>
      <c r="G209" s="22" t="s">
        <v>1391</v>
      </c>
      <c r="H209" s="22" t="s">
        <v>520</v>
      </c>
      <c r="I209" s="22" t="s">
        <v>1421</v>
      </c>
      <c r="J209" s="22" t="s">
        <v>1422</v>
      </c>
      <c r="K209" s="25" t="n">
        <v>1200</v>
      </c>
      <c r="L209" s="25" t="n">
        <v>1200</v>
      </c>
      <c r="M209" s="22" t="s">
        <v>85</v>
      </c>
      <c r="N209" s="22"/>
      <c r="O209" s="19" t="s">
        <v>1380</v>
      </c>
      <c r="P209" s="26" t="s">
        <v>1423</v>
      </c>
      <c r="Q209" s="22"/>
      <c r="R209" s="26" t="s">
        <v>1417</v>
      </c>
      <c r="S209" s="19" t="s">
        <v>200</v>
      </c>
      <c r="T209" s="19" t="s">
        <v>633</v>
      </c>
      <c r="U209" s="22"/>
      <c r="V209" s="22"/>
      <c r="W209" s="22" t="s">
        <v>1424</v>
      </c>
      <c r="X209" s="22"/>
      <c r="Y209" s="22"/>
      <c r="Z209" s="22" t="s">
        <v>547</v>
      </c>
      <c r="AA209" s="21" t="s">
        <v>94</v>
      </c>
      <c r="AB209" s="20" t="s">
        <v>93</v>
      </c>
      <c r="AC209" s="27" t="s">
        <v>213</v>
      </c>
      <c r="AD209" s="21" t="s">
        <v>94</v>
      </c>
      <c r="AE209" s="27" t="s">
        <v>213</v>
      </c>
      <c r="AF209" s="20" t="s">
        <v>93</v>
      </c>
      <c r="AG209" s="20" t="s">
        <v>93</v>
      </c>
      <c r="AH209" s="21" t="s">
        <v>94</v>
      </c>
      <c r="AI209" s="21" t="s">
        <v>94</v>
      </c>
    </row>
    <row r="210" customFormat="false" ht="57.75" hidden="false" customHeight="true" outlineLevel="0" collapsed="false">
      <c r="A210" s="15" t="n">
        <v>209</v>
      </c>
      <c r="B210" s="16" t="s">
        <v>76</v>
      </c>
      <c r="C210" s="15" t="s">
        <v>77</v>
      </c>
      <c r="D210" s="15" t="s">
        <v>78</v>
      </c>
      <c r="E210" s="17" t="s">
        <v>1425</v>
      </c>
      <c r="F210" s="15" t="s">
        <v>1426</v>
      </c>
      <c r="G210" s="15" t="s">
        <v>1391</v>
      </c>
      <c r="H210" s="15" t="s">
        <v>520</v>
      </c>
      <c r="I210" s="15" t="s">
        <v>1427</v>
      </c>
      <c r="J210" s="15"/>
      <c r="K210" s="18"/>
      <c r="L210" s="18"/>
      <c r="M210" s="15" t="s">
        <v>85</v>
      </c>
      <c r="N210" s="15"/>
      <c r="O210" s="15"/>
      <c r="P210" s="15"/>
      <c r="Q210" s="15"/>
      <c r="R210" s="19" t="s">
        <v>1428</v>
      </c>
      <c r="S210" s="15"/>
      <c r="T210" s="19" t="s">
        <v>633</v>
      </c>
      <c r="U210" s="19" t="s">
        <v>1429</v>
      </c>
      <c r="V210" s="15"/>
      <c r="W210" s="15" t="s">
        <v>1430</v>
      </c>
      <c r="X210" s="15"/>
      <c r="Y210" s="15"/>
      <c r="Z210" s="15" t="s">
        <v>1431</v>
      </c>
      <c r="AA210" s="21" t="s">
        <v>94</v>
      </c>
      <c r="AB210" s="21" t="s">
        <v>94</v>
      </c>
      <c r="AC210" s="21" t="s">
        <v>94</v>
      </c>
      <c r="AD210" s="21" t="s">
        <v>94</v>
      </c>
      <c r="AE210" s="20" t="s">
        <v>93</v>
      </c>
      <c r="AF210" s="21" t="s">
        <v>94</v>
      </c>
      <c r="AG210" s="20" t="s">
        <v>93</v>
      </c>
      <c r="AH210" s="20" t="s">
        <v>93</v>
      </c>
      <c r="AI210" s="21" t="s">
        <v>94</v>
      </c>
    </row>
    <row r="211" customFormat="false" ht="57.75" hidden="false" customHeight="true" outlineLevel="0" collapsed="false">
      <c r="A211" s="22" t="n">
        <v>210</v>
      </c>
      <c r="B211" s="23" t="s">
        <v>76</v>
      </c>
      <c r="C211" s="22" t="s">
        <v>77</v>
      </c>
      <c r="D211" s="22" t="s">
        <v>78</v>
      </c>
      <c r="E211" s="24" t="s">
        <v>1432</v>
      </c>
      <c r="F211" s="22" t="s">
        <v>235</v>
      </c>
      <c r="G211" s="22" t="s">
        <v>1433</v>
      </c>
      <c r="H211" s="22" t="s">
        <v>1434</v>
      </c>
      <c r="I211" s="22" t="s">
        <v>954</v>
      </c>
      <c r="J211" s="22" t="s">
        <v>1435</v>
      </c>
      <c r="K211" s="25" t="n">
        <v>2019</v>
      </c>
      <c r="L211" s="25" t="n">
        <v>2019</v>
      </c>
      <c r="M211" s="22" t="s">
        <v>94</v>
      </c>
      <c r="N211" s="22"/>
      <c r="O211" s="22"/>
      <c r="P211" s="26" t="s">
        <v>1415</v>
      </c>
      <c r="Q211" s="26" t="s">
        <v>1436</v>
      </c>
      <c r="R211" s="26" t="s">
        <v>1437</v>
      </c>
      <c r="S211" s="22"/>
      <c r="T211" s="19" t="s">
        <v>633</v>
      </c>
      <c r="U211" s="19" t="s">
        <v>923</v>
      </c>
      <c r="V211" s="22"/>
      <c r="W211" s="22" t="s">
        <v>1438</v>
      </c>
      <c r="X211" s="22"/>
      <c r="Y211" s="22"/>
      <c r="Z211" s="22" t="s">
        <v>1439</v>
      </c>
      <c r="AA211" s="21" t="s">
        <v>94</v>
      </c>
      <c r="AB211" s="21" t="s">
        <v>94</v>
      </c>
      <c r="AC211" s="27" t="s">
        <v>213</v>
      </c>
      <c r="AD211" s="27" t="s">
        <v>213</v>
      </c>
      <c r="AE211" s="27" t="s">
        <v>213</v>
      </c>
      <c r="AF211" s="21" t="s">
        <v>94</v>
      </c>
      <c r="AG211" s="20" t="s">
        <v>93</v>
      </c>
      <c r="AH211" s="20" t="s">
        <v>93</v>
      </c>
      <c r="AI211" s="21" t="s">
        <v>94</v>
      </c>
    </row>
    <row r="212" customFormat="false" ht="57.75" hidden="false" customHeight="true" outlineLevel="0" collapsed="false">
      <c r="A212" s="15" t="n">
        <v>211</v>
      </c>
      <c r="B212" s="16" t="s">
        <v>76</v>
      </c>
      <c r="C212" s="15" t="s">
        <v>77</v>
      </c>
      <c r="D212" s="15" t="s">
        <v>78</v>
      </c>
      <c r="E212" s="17" t="s">
        <v>1440</v>
      </c>
      <c r="F212" s="15" t="s">
        <v>1441</v>
      </c>
      <c r="G212" s="15" t="s">
        <v>1442</v>
      </c>
      <c r="H212" s="15" t="s">
        <v>1171</v>
      </c>
      <c r="I212" s="15" t="s">
        <v>695</v>
      </c>
      <c r="J212" s="15"/>
      <c r="K212" s="18"/>
      <c r="L212" s="18"/>
      <c r="M212" s="15" t="s">
        <v>94</v>
      </c>
      <c r="N212" s="15"/>
      <c r="O212" s="15"/>
      <c r="P212" s="15"/>
      <c r="Q212" s="15"/>
      <c r="R212" s="15"/>
      <c r="S212" s="15"/>
      <c r="T212" s="15"/>
      <c r="U212" s="15"/>
      <c r="V212" s="15"/>
      <c r="W212" s="15"/>
      <c r="X212" s="15" t="s">
        <v>624</v>
      </c>
      <c r="Y212" s="15"/>
      <c r="Z212" s="15" t="s">
        <v>368</v>
      </c>
      <c r="AA212" s="21" t="s">
        <v>94</v>
      </c>
      <c r="AB212" s="21" t="s">
        <v>94</v>
      </c>
      <c r="AC212" s="21" t="s">
        <v>94</v>
      </c>
      <c r="AD212" s="21" t="s">
        <v>94</v>
      </c>
      <c r="AE212" s="21" t="s">
        <v>94</v>
      </c>
      <c r="AF212" s="21" t="s">
        <v>94</v>
      </c>
      <c r="AG212" s="21" t="s">
        <v>94</v>
      </c>
      <c r="AH212" s="21" t="s">
        <v>94</v>
      </c>
      <c r="AI212" s="21" t="s">
        <v>94</v>
      </c>
    </row>
    <row r="213" customFormat="false" ht="57.75" hidden="false" customHeight="true" outlineLevel="0" collapsed="false">
      <c r="A213" s="22" t="n">
        <v>212</v>
      </c>
      <c r="B213" s="23" t="s">
        <v>76</v>
      </c>
      <c r="C213" s="22" t="s">
        <v>77</v>
      </c>
      <c r="D213" s="22" t="s">
        <v>78</v>
      </c>
      <c r="E213" s="24" t="s">
        <v>1443</v>
      </c>
      <c r="F213" s="22" t="s">
        <v>235</v>
      </c>
      <c r="G213" s="22" t="s">
        <v>1433</v>
      </c>
      <c r="H213" s="22" t="s">
        <v>1171</v>
      </c>
      <c r="I213" s="22" t="s">
        <v>305</v>
      </c>
      <c r="J213" s="22"/>
      <c r="K213" s="25"/>
      <c r="L213" s="25"/>
      <c r="M213" s="22" t="s">
        <v>94</v>
      </c>
      <c r="N213" s="22"/>
      <c r="O213" s="19" t="s">
        <v>1444</v>
      </c>
      <c r="P213" s="26" t="s">
        <v>1415</v>
      </c>
      <c r="Q213" s="26" t="s">
        <v>1436</v>
      </c>
      <c r="R213" s="26" t="s">
        <v>1445</v>
      </c>
      <c r="S213" s="22"/>
      <c r="T213" s="19" t="s">
        <v>633</v>
      </c>
      <c r="U213" s="19" t="s">
        <v>923</v>
      </c>
      <c r="V213" s="22"/>
      <c r="W213" s="22" t="s">
        <v>1438</v>
      </c>
      <c r="X213" s="22"/>
      <c r="Y213" s="22"/>
      <c r="Z213" s="22" t="s">
        <v>252</v>
      </c>
      <c r="AA213" s="21" t="s">
        <v>94</v>
      </c>
      <c r="AB213" s="20" t="s">
        <v>93</v>
      </c>
      <c r="AC213" s="27" t="s">
        <v>213</v>
      </c>
      <c r="AD213" s="27" t="s">
        <v>213</v>
      </c>
      <c r="AE213" s="27" t="s">
        <v>213</v>
      </c>
      <c r="AF213" s="21" t="s">
        <v>94</v>
      </c>
      <c r="AG213" s="20" t="s">
        <v>93</v>
      </c>
      <c r="AH213" s="20" t="s">
        <v>93</v>
      </c>
      <c r="AI213" s="21" t="s">
        <v>94</v>
      </c>
    </row>
    <row r="214" customFormat="false" ht="57.75" hidden="false" customHeight="true" outlineLevel="0" collapsed="false">
      <c r="A214" s="15" t="n">
        <v>213</v>
      </c>
      <c r="B214" s="16" t="s">
        <v>76</v>
      </c>
      <c r="C214" s="15" t="s">
        <v>77</v>
      </c>
      <c r="D214" s="15" t="s">
        <v>78</v>
      </c>
      <c r="E214" s="17" t="s">
        <v>1446</v>
      </c>
      <c r="F214" s="15" t="s">
        <v>504</v>
      </c>
      <c r="G214" s="15" t="s">
        <v>1447</v>
      </c>
      <c r="H214" s="15" t="s">
        <v>1171</v>
      </c>
      <c r="I214" s="15" t="s">
        <v>521</v>
      </c>
      <c r="J214" s="15"/>
      <c r="K214" s="18"/>
      <c r="L214" s="18"/>
      <c r="M214" s="15" t="s">
        <v>94</v>
      </c>
      <c r="N214" s="19" t="s">
        <v>54</v>
      </c>
      <c r="O214" s="15"/>
      <c r="P214" s="15"/>
      <c r="Q214" s="15"/>
      <c r="R214" s="15"/>
      <c r="S214" s="19" t="s">
        <v>89</v>
      </c>
      <c r="T214" s="19" t="s">
        <v>633</v>
      </c>
      <c r="U214" s="19" t="s">
        <v>510</v>
      </c>
      <c r="V214" s="15"/>
      <c r="W214" s="15" t="s">
        <v>1448</v>
      </c>
      <c r="X214" s="15"/>
      <c r="Y214" s="15"/>
      <c r="Z214" s="15" t="s">
        <v>169</v>
      </c>
      <c r="AA214" s="20" t="s">
        <v>93</v>
      </c>
      <c r="AB214" s="21" t="s">
        <v>94</v>
      </c>
      <c r="AC214" s="21" t="s">
        <v>94</v>
      </c>
      <c r="AD214" s="21" t="s">
        <v>94</v>
      </c>
      <c r="AE214" s="21" t="s">
        <v>94</v>
      </c>
      <c r="AF214" s="20" t="s">
        <v>93</v>
      </c>
      <c r="AG214" s="20" t="s">
        <v>93</v>
      </c>
      <c r="AH214" s="20" t="s">
        <v>93</v>
      </c>
      <c r="AI214" s="21" t="s">
        <v>94</v>
      </c>
    </row>
    <row r="215" customFormat="false" ht="57.75" hidden="false" customHeight="true" outlineLevel="0" collapsed="false">
      <c r="A215" s="22" t="n">
        <v>214</v>
      </c>
      <c r="B215" s="23" t="s">
        <v>76</v>
      </c>
      <c r="C215" s="22" t="s">
        <v>77</v>
      </c>
      <c r="D215" s="22" t="s">
        <v>78</v>
      </c>
      <c r="E215" s="24" t="s">
        <v>1449</v>
      </c>
      <c r="F215" s="22" t="s">
        <v>1449</v>
      </c>
      <c r="G215" s="22" t="s">
        <v>1450</v>
      </c>
      <c r="H215" s="22" t="s">
        <v>520</v>
      </c>
      <c r="I215" s="22" t="s">
        <v>492</v>
      </c>
      <c r="J215" s="22" t="s">
        <v>1451</v>
      </c>
      <c r="K215" s="25" t="n">
        <v>3037</v>
      </c>
      <c r="L215" s="25" t="n">
        <v>4229</v>
      </c>
      <c r="M215" s="22" t="s">
        <v>85</v>
      </c>
      <c r="N215" s="22"/>
      <c r="O215" s="22"/>
      <c r="P215" s="22"/>
      <c r="Q215" s="22"/>
      <c r="R215" s="22"/>
      <c r="S215" s="22"/>
      <c r="T215" s="19" t="s">
        <v>633</v>
      </c>
      <c r="U215" s="19" t="s">
        <v>1452</v>
      </c>
      <c r="V215" s="22"/>
      <c r="W215" s="22" t="s">
        <v>1453</v>
      </c>
      <c r="X215" s="22"/>
      <c r="Y215" s="22"/>
      <c r="Z215" s="22" t="s">
        <v>1431</v>
      </c>
      <c r="AA215" s="21" t="s">
        <v>94</v>
      </c>
      <c r="AB215" s="21" t="s">
        <v>94</v>
      </c>
      <c r="AC215" s="21" t="s">
        <v>94</v>
      </c>
      <c r="AD215" s="21" t="s">
        <v>94</v>
      </c>
      <c r="AE215" s="21" t="s">
        <v>94</v>
      </c>
      <c r="AF215" s="21" t="s">
        <v>94</v>
      </c>
      <c r="AG215" s="20" t="s">
        <v>93</v>
      </c>
      <c r="AH215" s="20" t="s">
        <v>93</v>
      </c>
      <c r="AI215" s="21" t="s">
        <v>94</v>
      </c>
    </row>
    <row r="216" customFormat="false" ht="57.75" hidden="false" customHeight="true" outlineLevel="0" collapsed="false">
      <c r="A216" s="15" t="n">
        <v>215</v>
      </c>
      <c r="B216" s="16" t="s">
        <v>76</v>
      </c>
      <c r="C216" s="15" t="s">
        <v>77</v>
      </c>
      <c r="D216" s="15" t="s">
        <v>78</v>
      </c>
      <c r="E216" s="17" t="s">
        <v>1454</v>
      </c>
      <c r="F216" s="15" t="s">
        <v>1455</v>
      </c>
      <c r="G216" s="15" t="s">
        <v>1456</v>
      </c>
      <c r="H216" s="15" t="s">
        <v>677</v>
      </c>
      <c r="I216" s="15" t="s">
        <v>1457</v>
      </c>
      <c r="J216" s="15" t="s">
        <v>1458</v>
      </c>
      <c r="K216" s="18" t="n">
        <v>3879</v>
      </c>
      <c r="L216" s="18" t="n">
        <v>4280</v>
      </c>
      <c r="M216" s="15" t="s">
        <v>94</v>
      </c>
      <c r="N216" s="15"/>
      <c r="O216" s="15"/>
      <c r="P216" s="19" t="s">
        <v>1459</v>
      </c>
      <c r="Q216" s="26" t="s">
        <v>1460</v>
      </c>
      <c r="R216" s="19" t="s">
        <v>1402</v>
      </c>
      <c r="S216" s="15"/>
      <c r="T216" s="19" t="s">
        <v>633</v>
      </c>
      <c r="U216" s="19" t="s">
        <v>1461</v>
      </c>
      <c r="V216" s="26" t="s">
        <v>1460</v>
      </c>
      <c r="W216" s="15" t="s">
        <v>534</v>
      </c>
      <c r="X216" s="15"/>
      <c r="Y216" s="15"/>
      <c r="Z216" s="15" t="s">
        <v>321</v>
      </c>
      <c r="AA216" s="21" t="s">
        <v>94</v>
      </c>
      <c r="AB216" s="21" t="s">
        <v>94</v>
      </c>
      <c r="AC216" s="20" t="s">
        <v>93</v>
      </c>
      <c r="AD216" s="27" t="s">
        <v>213</v>
      </c>
      <c r="AE216" s="20" t="s">
        <v>93</v>
      </c>
      <c r="AF216" s="21" t="s">
        <v>94</v>
      </c>
      <c r="AG216" s="20" t="s">
        <v>93</v>
      </c>
      <c r="AH216" s="20" t="s">
        <v>93</v>
      </c>
      <c r="AI216" s="27" t="s">
        <v>213</v>
      </c>
    </row>
    <row r="217" customFormat="false" ht="57.75" hidden="false" customHeight="true" outlineLevel="0" collapsed="false">
      <c r="A217" s="28" t="n">
        <v>216</v>
      </c>
      <c r="B217" s="29" t="s">
        <v>1462</v>
      </c>
      <c r="C217" s="28" t="s">
        <v>1463</v>
      </c>
      <c r="D217" s="28" t="s">
        <v>1464</v>
      </c>
      <c r="E217" s="30" t="s">
        <v>1465</v>
      </c>
      <c r="F217" s="28" t="s">
        <v>1466</v>
      </c>
      <c r="G217" s="28" t="s">
        <v>1467</v>
      </c>
      <c r="H217" s="28" t="s">
        <v>1468</v>
      </c>
      <c r="I217" s="28" t="s">
        <v>1469</v>
      </c>
      <c r="J217" s="28" t="s">
        <v>1470</v>
      </c>
      <c r="K217" s="31" t="n">
        <v>2500</v>
      </c>
      <c r="L217" s="31" t="n">
        <v>6500</v>
      </c>
      <c r="M217" s="28" t="s">
        <v>1471</v>
      </c>
      <c r="N217" s="19" t="s">
        <v>1472</v>
      </c>
      <c r="O217" s="19" t="s">
        <v>1473</v>
      </c>
      <c r="P217" s="19" t="s">
        <v>1474</v>
      </c>
      <c r="Q217" s="19" t="s">
        <v>1475</v>
      </c>
      <c r="R217" s="19" t="s">
        <v>1476</v>
      </c>
      <c r="S217" s="19" t="s">
        <v>1477</v>
      </c>
      <c r="T217" s="19" t="s">
        <v>1478</v>
      </c>
      <c r="U217" s="19" t="s">
        <v>1479</v>
      </c>
      <c r="V217" s="26" t="s">
        <v>1480</v>
      </c>
      <c r="W217" s="28" t="s">
        <v>1481</v>
      </c>
      <c r="X217" s="28" t="s">
        <v>1482</v>
      </c>
      <c r="Y217" s="28"/>
      <c r="Z217" s="28"/>
      <c r="AA217" s="20" t="s">
        <v>93</v>
      </c>
      <c r="AB217" s="20" t="s">
        <v>93</v>
      </c>
      <c r="AC217" s="20" t="s">
        <v>93</v>
      </c>
      <c r="AD217" s="20" t="s">
        <v>93</v>
      </c>
      <c r="AE217" s="20" t="s">
        <v>93</v>
      </c>
      <c r="AF217" s="20" t="s">
        <v>93</v>
      </c>
      <c r="AG217" s="20" t="s">
        <v>93</v>
      </c>
      <c r="AH217" s="20" t="s">
        <v>93</v>
      </c>
      <c r="AI217" s="27" t="s">
        <v>213</v>
      </c>
    </row>
    <row r="218" customFormat="false" ht="57.75" hidden="false" customHeight="true" outlineLevel="0" collapsed="false">
      <c r="A218" s="32" t="n">
        <v>217</v>
      </c>
      <c r="B218" s="33" t="s">
        <v>1462</v>
      </c>
      <c r="C218" s="32" t="s">
        <v>1463</v>
      </c>
      <c r="D218" s="32" t="s">
        <v>1464</v>
      </c>
      <c r="E218" s="34" t="s">
        <v>1483</v>
      </c>
      <c r="F218" s="32" t="s">
        <v>1466</v>
      </c>
      <c r="G218" s="32" t="s">
        <v>1467</v>
      </c>
      <c r="H218" s="32" t="s">
        <v>1484</v>
      </c>
      <c r="I218" s="32" t="s">
        <v>1469</v>
      </c>
      <c r="J218" s="32" t="s">
        <v>1485</v>
      </c>
      <c r="K218" s="35"/>
      <c r="L218" s="35"/>
      <c r="M218" s="32" t="s">
        <v>1486</v>
      </c>
      <c r="N218" s="26" t="s">
        <v>1487</v>
      </c>
      <c r="O218" s="26" t="s">
        <v>1488</v>
      </c>
      <c r="P218" s="19" t="s">
        <v>1489</v>
      </c>
      <c r="Q218" s="26" t="s">
        <v>1490</v>
      </c>
      <c r="R218" s="19" t="s">
        <v>1491</v>
      </c>
      <c r="S218" s="19" t="s">
        <v>1492</v>
      </c>
      <c r="T218" s="26" t="s">
        <v>1493</v>
      </c>
      <c r="U218" s="26" t="s">
        <v>1493</v>
      </c>
      <c r="V218" s="26" t="s">
        <v>1494</v>
      </c>
      <c r="W218" s="32"/>
      <c r="X218" s="32" t="s">
        <v>1495</v>
      </c>
      <c r="Y218" s="32"/>
      <c r="Z218" s="32"/>
      <c r="AA218" s="27" t="s">
        <v>213</v>
      </c>
      <c r="AB218" s="27" t="s">
        <v>213</v>
      </c>
      <c r="AC218" s="20" t="s">
        <v>93</v>
      </c>
      <c r="AD218" s="27" t="s">
        <v>213</v>
      </c>
      <c r="AE218" s="20" t="s">
        <v>93</v>
      </c>
      <c r="AF218" s="20" t="s">
        <v>93</v>
      </c>
      <c r="AG218" s="27" t="s">
        <v>213</v>
      </c>
      <c r="AH218" s="27" t="s">
        <v>213</v>
      </c>
      <c r="AI218" s="27" t="s">
        <v>213</v>
      </c>
    </row>
    <row r="219" customFormat="false" ht="57.75" hidden="false" customHeight="true" outlineLevel="0" collapsed="false">
      <c r="A219" s="9" t="n">
        <v>218</v>
      </c>
      <c r="B219" s="36" t="s">
        <v>1496</v>
      </c>
      <c r="C219" s="9" t="s">
        <v>1497</v>
      </c>
      <c r="D219" s="9" t="s">
        <v>1498</v>
      </c>
      <c r="E219" s="37" t="s">
        <v>1499</v>
      </c>
      <c r="F219" s="9" t="s">
        <v>1500</v>
      </c>
      <c r="G219" s="9" t="s">
        <v>94</v>
      </c>
      <c r="H219" s="9" t="s">
        <v>1501</v>
      </c>
      <c r="I219" s="9" t="s">
        <v>94</v>
      </c>
      <c r="J219" s="9" t="s">
        <v>94</v>
      </c>
      <c r="K219" s="38"/>
      <c r="L219" s="38"/>
      <c r="M219" s="9" t="s">
        <v>94</v>
      </c>
      <c r="N219" s="19" t="s">
        <v>1502</v>
      </c>
      <c r="O219" s="19" t="s">
        <v>1503</v>
      </c>
      <c r="P219" s="19" t="s">
        <v>1504</v>
      </c>
      <c r="Q219" s="19" t="s">
        <v>395</v>
      </c>
      <c r="R219" s="19" t="s">
        <v>1505</v>
      </c>
      <c r="S219" s="19" t="s">
        <v>94</v>
      </c>
      <c r="T219" s="19" t="s">
        <v>94</v>
      </c>
      <c r="U219" s="19" t="s">
        <v>94</v>
      </c>
      <c r="V219" s="19" t="s">
        <v>1505</v>
      </c>
      <c r="W219" s="9"/>
      <c r="X219" s="9" t="s">
        <v>1506</v>
      </c>
      <c r="Y219" s="9"/>
      <c r="Z219" s="9"/>
      <c r="AA219" s="20" t="s">
        <v>93</v>
      </c>
      <c r="AB219" s="20" t="s">
        <v>93</v>
      </c>
      <c r="AC219" s="20" t="s">
        <v>93</v>
      </c>
      <c r="AD219" s="20" t="s">
        <v>93</v>
      </c>
      <c r="AE219" s="20" t="s">
        <v>93</v>
      </c>
      <c r="AF219" s="20" t="s">
        <v>93</v>
      </c>
      <c r="AG219" s="20" t="s">
        <v>93</v>
      </c>
      <c r="AH219" s="20" t="s">
        <v>93</v>
      </c>
      <c r="AI219" s="20" t="s">
        <v>93</v>
      </c>
    </row>
    <row r="220" customFormat="false" ht="57.75" hidden="false" customHeight="true" outlineLevel="0" collapsed="false">
      <c r="A220" s="39" t="n">
        <v>219</v>
      </c>
      <c r="B220" s="40" t="s">
        <v>1496</v>
      </c>
      <c r="C220" s="39" t="s">
        <v>1497</v>
      </c>
      <c r="D220" s="39" t="s">
        <v>1498</v>
      </c>
      <c r="E220" s="41" t="s">
        <v>1507</v>
      </c>
      <c r="F220" s="39" t="s">
        <v>1508</v>
      </c>
      <c r="G220" s="39" t="s">
        <v>1509</v>
      </c>
      <c r="H220" s="39" t="s">
        <v>1501</v>
      </c>
      <c r="I220" s="39" t="s">
        <v>94</v>
      </c>
      <c r="J220" s="39" t="s">
        <v>94</v>
      </c>
      <c r="K220" s="42"/>
      <c r="L220" s="42"/>
      <c r="M220" s="39" t="s">
        <v>94</v>
      </c>
      <c r="N220" s="43" t="s">
        <v>1510</v>
      </c>
      <c r="O220" s="19" t="s">
        <v>1503</v>
      </c>
      <c r="P220" s="26" t="s">
        <v>1511</v>
      </c>
      <c r="Q220" s="43" t="s">
        <v>1510</v>
      </c>
      <c r="R220" s="19" t="s">
        <v>1505</v>
      </c>
      <c r="S220" s="19" t="s">
        <v>94</v>
      </c>
      <c r="T220" s="19" t="s">
        <v>94</v>
      </c>
      <c r="U220" s="19" t="s">
        <v>94</v>
      </c>
      <c r="V220" s="19" t="s">
        <v>1505</v>
      </c>
      <c r="W220" s="39"/>
      <c r="X220" s="39" t="s">
        <v>1506</v>
      </c>
      <c r="Y220" s="39"/>
      <c r="Z220" s="39"/>
      <c r="AA220" s="44" t="s">
        <v>1510</v>
      </c>
      <c r="AB220" s="20" t="s">
        <v>93</v>
      </c>
      <c r="AC220" s="27" t="s">
        <v>213</v>
      </c>
      <c r="AD220" s="44" t="s">
        <v>1510</v>
      </c>
      <c r="AE220" s="20" t="s">
        <v>93</v>
      </c>
      <c r="AF220" s="20" t="s">
        <v>93</v>
      </c>
      <c r="AG220" s="20" t="s">
        <v>93</v>
      </c>
      <c r="AH220" s="20" t="s">
        <v>93</v>
      </c>
      <c r="AI220" s="20" t="s">
        <v>93</v>
      </c>
    </row>
    <row r="221" customFormat="false" ht="57.75" hidden="false" customHeight="true" outlineLevel="0" collapsed="false">
      <c r="A221" s="13" t="n">
        <v>220</v>
      </c>
      <c r="B221" s="45" t="s">
        <v>1512</v>
      </c>
      <c r="C221" s="13" t="s">
        <v>1513</v>
      </c>
      <c r="D221" s="13" t="s">
        <v>1498</v>
      </c>
      <c r="E221" s="46" t="s">
        <v>1514</v>
      </c>
      <c r="F221" s="13" t="s">
        <v>1515</v>
      </c>
      <c r="G221" s="13" t="s">
        <v>1516</v>
      </c>
      <c r="H221" s="13" t="s">
        <v>1517</v>
      </c>
      <c r="I221" s="13" t="s">
        <v>94</v>
      </c>
      <c r="J221" s="13" t="s">
        <v>94</v>
      </c>
      <c r="K221" s="47"/>
      <c r="L221" s="47"/>
      <c r="M221" s="13" t="s">
        <v>94</v>
      </c>
      <c r="N221" s="26" t="s">
        <v>1518</v>
      </c>
      <c r="O221" s="19" t="s">
        <v>1519</v>
      </c>
      <c r="P221" s="19" t="s">
        <v>1520</v>
      </c>
      <c r="Q221" s="19" t="s">
        <v>1521</v>
      </c>
      <c r="R221" s="19" t="s">
        <v>1522</v>
      </c>
      <c r="S221" s="26" t="s">
        <v>1518</v>
      </c>
      <c r="T221" s="19" t="s">
        <v>1523</v>
      </c>
      <c r="U221" s="19" t="s">
        <v>1524</v>
      </c>
      <c r="V221" s="19" t="s">
        <v>1525</v>
      </c>
      <c r="W221" s="13"/>
      <c r="X221" s="13" t="s">
        <v>1526</v>
      </c>
      <c r="Y221" s="13"/>
      <c r="Z221" s="13"/>
      <c r="AA221" s="27" t="s">
        <v>213</v>
      </c>
      <c r="AB221" s="20" t="s">
        <v>93</v>
      </c>
      <c r="AC221" s="20" t="s">
        <v>93</v>
      </c>
      <c r="AD221" s="20" t="s">
        <v>93</v>
      </c>
      <c r="AE221" s="20" t="s">
        <v>93</v>
      </c>
      <c r="AF221" s="27" t="s">
        <v>213</v>
      </c>
      <c r="AG221" s="20" t="s">
        <v>93</v>
      </c>
      <c r="AH221" s="20" t="s">
        <v>93</v>
      </c>
      <c r="AI221" s="20" t="s">
        <v>93</v>
      </c>
    </row>
    <row r="222" customFormat="false" ht="57.75" hidden="false" customHeight="true" outlineLevel="0" collapsed="false">
      <c r="A222" s="48" t="n">
        <v>221</v>
      </c>
      <c r="B222" s="49" t="s">
        <v>1512</v>
      </c>
      <c r="C222" s="48" t="s">
        <v>1513</v>
      </c>
      <c r="D222" s="48" t="s">
        <v>1498</v>
      </c>
      <c r="E222" s="50" t="s">
        <v>1527</v>
      </c>
      <c r="F222" s="48" t="s">
        <v>1528</v>
      </c>
      <c r="G222" s="48" t="s">
        <v>94</v>
      </c>
      <c r="H222" s="48" t="s">
        <v>1529</v>
      </c>
      <c r="I222" s="48" t="s">
        <v>94</v>
      </c>
      <c r="J222" s="48" t="s">
        <v>94</v>
      </c>
      <c r="K222" s="51"/>
      <c r="L222" s="51"/>
      <c r="M222" s="48" t="s">
        <v>94</v>
      </c>
      <c r="N222" s="43" t="s">
        <v>1510</v>
      </c>
      <c r="O222" s="52" t="s">
        <v>1530</v>
      </c>
      <c r="P222" s="43" t="s">
        <v>1531</v>
      </c>
      <c r="Q222" s="19" t="s">
        <v>93</v>
      </c>
      <c r="R222" s="52" t="s">
        <v>1532</v>
      </c>
      <c r="S222" s="19" t="s">
        <v>1533</v>
      </c>
      <c r="T222" s="19" t="s">
        <v>746</v>
      </c>
      <c r="U222" s="19" t="s">
        <v>1534</v>
      </c>
      <c r="V222" s="52" t="s">
        <v>1532</v>
      </c>
      <c r="W222" s="48"/>
      <c r="X222" s="48" t="s">
        <v>1535</v>
      </c>
      <c r="Y222" s="48"/>
      <c r="Z222" s="48"/>
      <c r="AA222" s="44" t="s">
        <v>1510</v>
      </c>
      <c r="AB222" s="53" t="s">
        <v>1536</v>
      </c>
      <c r="AC222" s="44" t="s">
        <v>1510</v>
      </c>
      <c r="AD222" s="20" t="s">
        <v>93</v>
      </c>
      <c r="AE222" s="53" t="s">
        <v>1536</v>
      </c>
      <c r="AF222" s="20" t="s">
        <v>93</v>
      </c>
      <c r="AG222" s="20" t="s">
        <v>93</v>
      </c>
      <c r="AH222" s="20" t="s">
        <v>93</v>
      </c>
      <c r="AI222" s="53" t="s">
        <v>1536</v>
      </c>
    </row>
    <row r="223" customFormat="false" ht="57.75" hidden="false" customHeight="true" outlineLevel="0" collapsed="false">
      <c r="A223" s="13" t="n">
        <v>222</v>
      </c>
      <c r="B223" s="45" t="s">
        <v>1512</v>
      </c>
      <c r="C223" s="13" t="s">
        <v>1513</v>
      </c>
      <c r="D223" s="13" t="s">
        <v>1498</v>
      </c>
      <c r="E223" s="46" t="s">
        <v>1537</v>
      </c>
      <c r="F223" s="13" t="s">
        <v>1538</v>
      </c>
      <c r="G223" s="13" t="s">
        <v>1539</v>
      </c>
      <c r="H223" s="13" t="s">
        <v>1540</v>
      </c>
      <c r="I223" s="13" t="s">
        <v>94</v>
      </c>
      <c r="J223" s="13" t="s">
        <v>94</v>
      </c>
      <c r="K223" s="47"/>
      <c r="L223" s="47"/>
      <c r="M223" s="13" t="s">
        <v>94</v>
      </c>
      <c r="N223" s="19" t="s">
        <v>1541</v>
      </c>
      <c r="O223" s="26" t="s">
        <v>1542</v>
      </c>
      <c r="P223" s="26" t="s">
        <v>1543</v>
      </c>
      <c r="Q223" s="19" t="s">
        <v>1521</v>
      </c>
      <c r="R223" s="19" t="s">
        <v>1544</v>
      </c>
      <c r="S223" s="19" t="s">
        <v>1545</v>
      </c>
      <c r="T223" s="19" t="s">
        <v>633</v>
      </c>
      <c r="U223" s="19" t="s">
        <v>1546</v>
      </c>
      <c r="V223" s="19" t="s">
        <v>1547</v>
      </c>
      <c r="W223" s="13"/>
      <c r="X223" s="13" t="s">
        <v>1548</v>
      </c>
      <c r="Y223" s="13"/>
      <c r="Z223" s="13"/>
      <c r="AA223" s="20" t="s">
        <v>93</v>
      </c>
      <c r="AB223" s="27" t="s">
        <v>213</v>
      </c>
      <c r="AC223" s="27" t="s">
        <v>213</v>
      </c>
      <c r="AD223" s="20" t="s">
        <v>93</v>
      </c>
      <c r="AE223" s="20" t="s">
        <v>93</v>
      </c>
      <c r="AF223" s="20" t="s">
        <v>93</v>
      </c>
      <c r="AG223" s="20" t="s">
        <v>93</v>
      </c>
      <c r="AH223" s="20" t="s">
        <v>93</v>
      </c>
      <c r="AI223" s="20" t="s">
        <v>93</v>
      </c>
    </row>
    <row r="224" customFormat="false" ht="57.75" hidden="false" customHeight="true" outlineLevel="0" collapsed="false">
      <c r="A224" s="48" t="n">
        <v>223</v>
      </c>
      <c r="B224" s="49" t="s">
        <v>1512</v>
      </c>
      <c r="C224" s="48" t="s">
        <v>1513</v>
      </c>
      <c r="D224" s="48" t="s">
        <v>1498</v>
      </c>
      <c r="E224" s="50" t="s">
        <v>1549</v>
      </c>
      <c r="F224" s="48" t="s">
        <v>94</v>
      </c>
      <c r="G224" s="48" t="s">
        <v>94</v>
      </c>
      <c r="H224" s="48" t="s">
        <v>1550</v>
      </c>
      <c r="I224" s="48" t="s">
        <v>94</v>
      </c>
      <c r="J224" s="48" t="s">
        <v>94</v>
      </c>
      <c r="K224" s="51"/>
      <c r="L224" s="51"/>
      <c r="M224" s="48" t="s">
        <v>94</v>
      </c>
      <c r="N224" s="19" t="s">
        <v>93</v>
      </c>
      <c r="O224" s="19" t="s">
        <v>1551</v>
      </c>
      <c r="P224" s="26" t="s">
        <v>1552</v>
      </c>
      <c r="Q224" s="19" t="s">
        <v>1553</v>
      </c>
      <c r="R224" s="19" t="s">
        <v>1522</v>
      </c>
      <c r="S224" s="26" t="s">
        <v>1518</v>
      </c>
      <c r="T224" s="19" t="s">
        <v>1554</v>
      </c>
      <c r="U224" s="19" t="s">
        <v>1555</v>
      </c>
      <c r="V224" s="26" t="s">
        <v>1556</v>
      </c>
      <c r="W224" s="48"/>
      <c r="X224" s="48" t="s">
        <v>1557</v>
      </c>
      <c r="Y224" s="48"/>
      <c r="Z224" s="48"/>
      <c r="AA224" s="20" t="s">
        <v>93</v>
      </c>
      <c r="AB224" s="20" t="s">
        <v>93</v>
      </c>
      <c r="AC224" s="27" t="s">
        <v>213</v>
      </c>
      <c r="AD224" s="20" t="s">
        <v>93</v>
      </c>
      <c r="AE224" s="20" t="s">
        <v>93</v>
      </c>
      <c r="AF224" s="27" t="s">
        <v>213</v>
      </c>
      <c r="AG224" s="20" t="s">
        <v>93</v>
      </c>
      <c r="AH224" s="20" t="s">
        <v>93</v>
      </c>
      <c r="AI224" s="27" t="s">
        <v>213</v>
      </c>
    </row>
    <row r="225" customFormat="false" ht="57.75" hidden="false" customHeight="true" outlineLevel="0" collapsed="false">
      <c r="A225" s="13" t="n">
        <v>224</v>
      </c>
      <c r="B225" s="45" t="s">
        <v>1512</v>
      </c>
      <c r="C225" s="13" t="s">
        <v>1513</v>
      </c>
      <c r="D225" s="13" t="s">
        <v>1498</v>
      </c>
      <c r="E225" s="46" t="s">
        <v>1558</v>
      </c>
      <c r="F225" s="13" t="s">
        <v>94</v>
      </c>
      <c r="G225" s="13" t="s">
        <v>94</v>
      </c>
      <c r="H225" s="13" t="s">
        <v>1559</v>
      </c>
      <c r="I225" s="13" t="s">
        <v>94</v>
      </c>
      <c r="J225" s="13" t="s">
        <v>94</v>
      </c>
      <c r="K225" s="47"/>
      <c r="L225" s="47"/>
      <c r="M225" s="13" t="s">
        <v>94</v>
      </c>
      <c r="N225" s="19" t="s">
        <v>93</v>
      </c>
      <c r="O225" s="19" t="s">
        <v>1560</v>
      </c>
      <c r="P225" s="26" t="s">
        <v>1561</v>
      </c>
      <c r="Q225" s="26" t="s">
        <v>1562</v>
      </c>
      <c r="R225" s="19" t="s">
        <v>1563</v>
      </c>
      <c r="S225" s="19" t="s">
        <v>1545</v>
      </c>
      <c r="T225" s="19" t="s">
        <v>1564</v>
      </c>
      <c r="U225" s="19" t="s">
        <v>1565</v>
      </c>
      <c r="V225" s="26" t="s">
        <v>1566</v>
      </c>
      <c r="W225" s="13"/>
      <c r="X225" s="13" t="s">
        <v>1567</v>
      </c>
      <c r="Y225" s="13"/>
      <c r="Z225" s="13"/>
      <c r="AA225" s="20" t="s">
        <v>93</v>
      </c>
      <c r="AB225" s="20" t="s">
        <v>93</v>
      </c>
      <c r="AC225" s="27" t="s">
        <v>213</v>
      </c>
      <c r="AD225" s="27" t="s">
        <v>213</v>
      </c>
      <c r="AE225" s="20" t="s">
        <v>93</v>
      </c>
      <c r="AF225" s="20" t="s">
        <v>93</v>
      </c>
      <c r="AG225" s="20" t="s">
        <v>93</v>
      </c>
      <c r="AH225" s="20" t="s">
        <v>93</v>
      </c>
      <c r="AI225" s="27" t="s">
        <v>213</v>
      </c>
    </row>
    <row r="226" customFormat="false" ht="57.75" hidden="false" customHeight="true" outlineLevel="0" collapsed="false">
      <c r="A226" s="48" t="n">
        <v>225</v>
      </c>
      <c r="B226" s="49" t="s">
        <v>1512</v>
      </c>
      <c r="C226" s="48" t="s">
        <v>1513</v>
      </c>
      <c r="D226" s="48" t="s">
        <v>1498</v>
      </c>
      <c r="E226" s="50" t="s">
        <v>1568</v>
      </c>
      <c r="F226" s="48" t="s">
        <v>94</v>
      </c>
      <c r="G226" s="48" t="s">
        <v>94</v>
      </c>
      <c r="H226" s="48" t="s">
        <v>1540</v>
      </c>
      <c r="I226" s="48" t="s">
        <v>94</v>
      </c>
      <c r="J226" s="48" t="s">
        <v>94</v>
      </c>
      <c r="K226" s="51"/>
      <c r="L226" s="51"/>
      <c r="M226" s="48" t="s">
        <v>94</v>
      </c>
      <c r="N226" s="19" t="s">
        <v>1569</v>
      </c>
      <c r="O226" s="19" t="s">
        <v>1570</v>
      </c>
      <c r="P226" s="26" t="s">
        <v>1571</v>
      </c>
      <c r="Q226" s="19" t="s">
        <v>1553</v>
      </c>
      <c r="R226" s="26" t="s">
        <v>1572</v>
      </c>
      <c r="S226" s="19" t="s">
        <v>1545</v>
      </c>
      <c r="T226" s="19" t="s">
        <v>1573</v>
      </c>
      <c r="U226" s="19" t="s">
        <v>1574</v>
      </c>
      <c r="V226" s="19" t="s">
        <v>1575</v>
      </c>
      <c r="W226" s="48"/>
      <c r="X226" s="48" t="s">
        <v>1576</v>
      </c>
      <c r="Y226" s="48"/>
      <c r="Z226" s="48"/>
      <c r="AA226" s="20" t="s">
        <v>93</v>
      </c>
      <c r="AB226" s="20" t="s">
        <v>93</v>
      </c>
      <c r="AC226" s="27" t="s">
        <v>213</v>
      </c>
      <c r="AD226" s="20" t="s">
        <v>93</v>
      </c>
      <c r="AE226" s="27" t="s">
        <v>213</v>
      </c>
      <c r="AF226" s="20" t="s">
        <v>93</v>
      </c>
      <c r="AG226" s="20" t="s">
        <v>93</v>
      </c>
      <c r="AH226" s="20" t="s">
        <v>93</v>
      </c>
      <c r="AI226" s="20" t="s">
        <v>93</v>
      </c>
    </row>
    <row r="227" customFormat="false" ht="57.75" hidden="false" customHeight="true" outlineLevel="0" collapsed="false">
      <c r="A227" s="13" t="n">
        <v>226</v>
      </c>
      <c r="B227" s="45" t="s">
        <v>1512</v>
      </c>
      <c r="C227" s="13" t="s">
        <v>1513</v>
      </c>
      <c r="D227" s="13" t="s">
        <v>1498</v>
      </c>
      <c r="E227" s="46" t="s">
        <v>1577</v>
      </c>
      <c r="F227" s="13" t="s">
        <v>94</v>
      </c>
      <c r="G227" s="13" t="s">
        <v>94</v>
      </c>
      <c r="H227" s="13" t="s">
        <v>1578</v>
      </c>
      <c r="I227" s="13" t="s">
        <v>94</v>
      </c>
      <c r="J227" s="13" t="s">
        <v>1579</v>
      </c>
      <c r="K227" s="47"/>
      <c r="L227" s="47"/>
      <c r="M227" s="13" t="s">
        <v>94</v>
      </c>
      <c r="N227" s="19" t="s">
        <v>94</v>
      </c>
      <c r="O227" s="19" t="s">
        <v>94</v>
      </c>
      <c r="P227" s="19" t="s">
        <v>94</v>
      </c>
      <c r="Q227" s="26" t="s">
        <v>1580</v>
      </c>
      <c r="R227" s="19" t="s">
        <v>94</v>
      </c>
      <c r="S227" s="19" t="s">
        <v>94</v>
      </c>
      <c r="T227" s="19" t="s">
        <v>94</v>
      </c>
      <c r="U227" s="19" t="s">
        <v>94</v>
      </c>
      <c r="V227" s="26" t="s">
        <v>1581</v>
      </c>
      <c r="W227" s="13"/>
      <c r="X227" s="13" t="s">
        <v>1582</v>
      </c>
      <c r="Y227" s="13"/>
      <c r="Z227" s="13"/>
      <c r="AA227" s="20" t="s">
        <v>93</v>
      </c>
      <c r="AB227" s="20" t="s">
        <v>93</v>
      </c>
      <c r="AC227" s="20" t="s">
        <v>93</v>
      </c>
      <c r="AD227" s="27" t="s">
        <v>213</v>
      </c>
      <c r="AE227" s="20" t="s">
        <v>93</v>
      </c>
      <c r="AF227" s="20" t="s">
        <v>93</v>
      </c>
      <c r="AG227" s="20" t="s">
        <v>93</v>
      </c>
      <c r="AH227" s="20" t="s">
        <v>93</v>
      </c>
      <c r="AI227" s="27" t="s">
        <v>213</v>
      </c>
    </row>
    <row r="228" customFormat="false" ht="57.75" hidden="false" customHeight="true" outlineLevel="0" collapsed="false">
      <c r="A228" s="48" t="n">
        <v>227</v>
      </c>
      <c r="B228" s="49" t="s">
        <v>1512</v>
      </c>
      <c r="C228" s="48" t="s">
        <v>1513</v>
      </c>
      <c r="D228" s="48" t="s">
        <v>1498</v>
      </c>
      <c r="E228" s="50" t="s">
        <v>1583</v>
      </c>
      <c r="F228" s="48" t="s">
        <v>94</v>
      </c>
      <c r="G228" s="48" t="s">
        <v>94</v>
      </c>
      <c r="H228" s="48" t="s">
        <v>1584</v>
      </c>
      <c r="I228" s="48" t="s">
        <v>94</v>
      </c>
      <c r="J228" s="48" t="s">
        <v>94</v>
      </c>
      <c r="K228" s="51"/>
      <c r="L228" s="51"/>
      <c r="M228" s="48" t="s">
        <v>94</v>
      </c>
      <c r="N228" s="26" t="s">
        <v>1585</v>
      </c>
      <c r="O228" s="26" t="s">
        <v>1586</v>
      </c>
      <c r="P228" s="26" t="s">
        <v>1587</v>
      </c>
      <c r="Q228" s="26" t="s">
        <v>1588</v>
      </c>
      <c r="R228" s="26" t="s">
        <v>1589</v>
      </c>
      <c r="S228" s="19" t="s">
        <v>94</v>
      </c>
      <c r="T228" s="19" t="s">
        <v>94</v>
      </c>
      <c r="U228" s="19" t="s">
        <v>94</v>
      </c>
      <c r="V228" s="26" t="s">
        <v>1590</v>
      </c>
      <c r="W228" s="48"/>
      <c r="X228" s="48" t="s">
        <v>1591</v>
      </c>
      <c r="Y228" s="48"/>
      <c r="Z228" s="48"/>
      <c r="AA228" s="27" t="s">
        <v>213</v>
      </c>
      <c r="AB228" s="27" t="s">
        <v>213</v>
      </c>
      <c r="AC228" s="27" t="s">
        <v>213</v>
      </c>
      <c r="AD228" s="27" t="s">
        <v>213</v>
      </c>
      <c r="AE228" s="27" t="s">
        <v>213</v>
      </c>
      <c r="AF228" s="20" t="s">
        <v>93</v>
      </c>
      <c r="AG228" s="20" t="s">
        <v>93</v>
      </c>
      <c r="AH228" s="20" t="s">
        <v>93</v>
      </c>
      <c r="AI228" s="27" t="s">
        <v>213</v>
      </c>
    </row>
    <row r="229" customFormat="false" ht="57.75" hidden="false" customHeight="true" outlineLevel="0" collapsed="false">
      <c r="A229" s="13" t="n">
        <v>228</v>
      </c>
      <c r="B229" s="45" t="s">
        <v>1512</v>
      </c>
      <c r="C229" s="13" t="s">
        <v>1513</v>
      </c>
      <c r="D229" s="13" t="s">
        <v>1498</v>
      </c>
      <c r="E229" s="46" t="s">
        <v>1592</v>
      </c>
      <c r="F229" s="13" t="s">
        <v>94</v>
      </c>
      <c r="G229" s="13" t="s">
        <v>94</v>
      </c>
      <c r="H229" s="13" t="s">
        <v>1584</v>
      </c>
      <c r="I229" s="13" t="s">
        <v>94</v>
      </c>
      <c r="J229" s="13" t="s">
        <v>94</v>
      </c>
      <c r="K229" s="47"/>
      <c r="L229" s="47"/>
      <c r="M229" s="13" t="s">
        <v>94</v>
      </c>
      <c r="N229" s="26" t="s">
        <v>1585</v>
      </c>
      <c r="O229" s="26" t="s">
        <v>1586</v>
      </c>
      <c r="P229" s="26" t="s">
        <v>1587</v>
      </c>
      <c r="Q229" s="26" t="s">
        <v>1588</v>
      </c>
      <c r="R229" s="26" t="s">
        <v>1589</v>
      </c>
      <c r="S229" s="19" t="s">
        <v>94</v>
      </c>
      <c r="T229" s="19" t="s">
        <v>94</v>
      </c>
      <c r="U229" s="19" t="s">
        <v>94</v>
      </c>
      <c r="V229" s="26" t="s">
        <v>1590</v>
      </c>
      <c r="W229" s="13"/>
      <c r="X229" s="13" t="s">
        <v>1593</v>
      </c>
      <c r="Y229" s="13"/>
      <c r="Z229" s="13"/>
      <c r="AA229" s="27" t="s">
        <v>213</v>
      </c>
      <c r="AB229" s="27" t="s">
        <v>213</v>
      </c>
      <c r="AC229" s="27" t="s">
        <v>213</v>
      </c>
      <c r="AD229" s="27" t="s">
        <v>213</v>
      </c>
      <c r="AE229" s="27" t="s">
        <v>213</v>
      </c>
      <c r="AF229" s="20" t="s">
        <v>93</v>
      </c>
      <c r="AG229" s="20" t="s">
        <v>93</v>
      </c>
      <c r="AH229" s="20" t="s">
        <v>93</v>
      </c>
      <c r="AI229" s="27" t="s">
        <v>213</v>
      </c>
    </row>
    <row r="230" customFormat="false" ht="57.75" hidden="false" customHeight="true" outlineLevel="0" collapsed="false">
      <c r="A230" s="48" t="n">
        <v>229</v>
      </c>
      <c r="B230" s="49" t="s">
        <v>1512</v>
      </c>
      <c r="C230" s="48" t="s">
        <v>1513</v>
      </c>
      <c r="D230" s="48" t="s">
        <v>1498</v>
      </c>
      <c r="E230" s="50" t="s">
        <v>1594</v>
      </c>
      <c r="F230" s="48" t="s">
        <v>1595</v>
      </c>
      <c r="G230" s="48" t="s">
        <v>1596</v>
      </c>
      <c r="H230" s="48" t="s">
        <v>1597</v>
      </c>
      <c r="I230" s="48" t="s">
        <v>94</v>
      </c>
      <c r="J230" s="48" t="s">
        <v>94</v>
      </c>
      <c r="K230" s="51"/>
      <c r="L230" s="51"/>
      <c r="M230" s="48" t="s">
        <v>94</v>
      </c>
      <c r="N230" s="19" t="s">
        <v>1598</v>
      </c>
      <c r="O230" s="19" t="s">
        <v>94</v>
      </c>
      <c r="P230" s="19" t="s">
        <v>94</v>
      </c>
      <c r="Q230" s="19" t="s">
        <v>1599</v>
      </c>
      <c r="R230" s="19" t="s">
        <v>1600</v>
      </c>
      <c r="S230" s="19" t="s">
        <v>1601</v>
      </c>
      <c r="T230" s="19" t="s">
        <v>1602</v>
      </c>
      <c r="U230" s="19" t="s">
        <v>1603</v>
      </c>
      <c r="V230" s="19" t="s">
        <v>1604</v>
      </c>
      <c r="W230" s="48"/>
      <c r="X230" s="48" t="s">
        <v>1605</v>
      </c>
      <c r="Y230" s="48"/>
      <c r="Z230" s="48"/>
      <c r="AA230" s="20" t="s">
        <v>93</v>
      </c>
      <c r="AB230" s="20" t="s">
        <v>93</v>
      </c>
      <c r="AC230" s="20" t="s">
        <v>93</v>
      </c>
      <c r="AD230" s="20" t="s">
        <v>93</v>
      </c>
      <c r="AE230" s="20" t="s">
        <v>93</v>
      </c>
      <c r="AF230" s="20" t="s">
        <v>93</v>
      </c>
      <c r="AG230" s="20" t="s">
        <v>93</v>
      </c>
      <c r="AH230" s="20" t="s">
        <v>93</v>
      </c>
      <c r="AI230" s="20" t="s">
        <v>93</v>
      </c>
    </row>
    <row r="231" customFormat="false" ht="57.75" hidden="false" customHeight="true" outlineLevel="0" collapsed="false">
      <c r="A231" s="13" t="n">
        <v>230</v>
      </c>
      <c r="B231" s="45" t="s">
        <v>1512</v>
      </c>
      <c r="C231" s="13" t="s">
        <v>1513</v>
      </c>
      <c r="D231" s="13" t="s">
        <v>1498</v>
      </c>
      <c r="E231" s="46" t="s">
        <v>1606</v>
      </c>
      <c r="F231" s="13" t="s">
        <v>1469</v>
      </c>
      <c r="G231" s="13" t="s">
        <v>1607</v>
      </c>
      <c r="H231" s="13" t="s">
        <v>1608</v>
      </c>
      <c r="I231" s="13" t="s">
        <v>1469</v>
      </c>
      <c r="J231" s="13" t="s">
        <v>1469</v>
      </c>
      <c r="K231" s="47"/>
      <c r="L231" s="47"/>
      <c r="M231" s="13" t="s">
        <v>1469</v>
      </c>
      <c r="N231" s="19" t="s">
        <v>1609</v>
      </c>
      <c r="O231" s="19" t="s">
        <v>1610</v>
      </c>
      <c r="P231" s="26" t="s">
        <v>1611</v>
      </c>
      <c r="Q231" s="26" t="s">
        <v>1611</v>
      </c>
      <c r="R231" s="19" t="s">
        <v>1609</v>
      </c>
      <c r="S231" s="19" t="s">
        <v>1609</v>
      </c>
      <c r="T231" s="19" t="s">
        <v>1612</v>
      </c>
      <c r="U231" s="19" t="s">
        <v>1609</v>
      </c>
      <c r="V231" s="19" t="s">
        <v>1613</v>
      </c>
      <c r="W231" s="13"/>
      <c r="X231" s="13" t="s">
        <v>1614</v>
      </c>
      <c r="Y231" s="13"/>
      <c r="Z231" s="13"/>
      <c r="AA231" s="20" t="s">
        <v>93</v>
      </c>
      <c r="AB231" s="20" t="s">
        <v>93</v>
      </c>
      <c r="AC231" s="27" t="s">
        <v>213</v>
      </c>
      <c r="AD231" s="27" t="s">
        <v>213</v>
      </c>
      <c r="AE231" s="20" t="s">
        <v>93</v>
      </c>
      <c r="AF231" s="20" t="s">
        <v>93</v>
      </c>
      <c r="AG231" s="20" t="s">
        <v>93</v>
      </c>
      <c r="AH231" s="20" t="s">
        <v>93</v>
      </c>
      <c r="AI231" s="20" t="s">
        <v>93</v>
      </c>
    </row>
  </sheetData>
  <autoFilter ref="A1:AI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48"/>
    <col collapsed="false" customWidth="true" hidden="false" outlineLevel="0" max="4" min="4" style="0" width="36"/>
    <col collapsed="false" customWidth="true" hidden="false" outlineLevel="0" max="5" min="5" style="0" width="48"/>
    <col collapsed="false" customWidth="true" hidden="false" outlineLevel="0" max="6" min="6" style="0" width="52"/>
    <col collapsed="false" customWidth="true" hidden="false" outlineLevel="0" max="8" min="7" style="0" width="16"/>
    <col collapsed="false" customWidth="true" hidden="false" outlineLevel="0" max="10" min="9" style="0" width="14"/>
    <col collapsed="false" customWidth="true" hidden="false" outlineLevel="0" max="11" min="11" style="0" width="16"/>
  </cols>
  <sheetData>
    <row r="1" customFormat="false" ht="17.35" hidden="false" customHeight="false" outlineLevel="0" collapsed="false">
      <c r="A1" s="54" t="s">
        <v>1615</v>
      </c>
    </row>
    <row r="2" customFormat="false" ht="15" hidden="false" customHeight="false" outlineLevel="0" collapsed="false">
      <c r="A2" s="55" t="s">
        <v>1616</v>
      </c>
    </row>
    <row r="4" customFormat="false" ht="15" hidden="false" customHeight="false" outlineLevel="0" collapsed="false">
      <c r="A4" s="7" t="s">
        <v>1617</v>
      </c>
    </row>
    <row r="5" customFormat="false" ht="23.85" hidden="false" customHeight="false" outlineLevel="0" collapsed="false">
      <c r="A5" s="3" t="s">
        <v>1618</v>
      </c>
      <c r="B5" s="3" t="s">
        <v>1619</v>
      </c>
      <c r="C5" s="3" t="s">
        <v>1620</v>
      </c>
      <c r="D5" s="3" t="s">
        <v>93</v>
      </c>
      <c r="E5" s="3" t="s">
        <v>1536</v>
      </c>
      <c r="F5" s="3" t="s">
        <v>213</v>
      </c>
      <c r="G5" s="3" t="s">
        <v>1510</v>
      </c>
      <c r="H5" s="3" t="s">
        <v>94</v>
      </c>
      <c r="I5" s="3" t="s">
        <v>1621</v>
      </c>
      <c r="J5" s="3" t="s">
        <v>1622</v>
      </c>
      <c r="K5" s="3" t="s">
        <v>1623</v>
      </c>
    </row>
    <row r="6" customFormat="false" ht="30" hidden="false" customHeight="true" outlineLevel="0" collapsed="false">
      <c r="A6" s="16" t="s">
        <v>54</v>
      </c>
      <c r="B6" s="56" t="s">
        <v>76</v>
      </c>
      <c r="C6" s="57" t="n">
        <f aca="false">COUNTIF('Consolidated Data'!$B$2:$B$231,"Laura Lopez")</f>
        <v>215</v>
      </c>
      <c r="D6" s="57" t="n">
        <f aca="false">COUNTIFS('Consolidated Data'!$B$2:$B$231,"Laura Lopez",'Consolidated Data'!$AA$2:$AA$231,"Included")</f>
        <v>55</v>
      </c>
      <c r="E6" s="57" t="n">
        <f aca="false">COUNTIFS('Consolidated Data'!$B$2:$B$231,"Laura Lopez",'Consolidated Data'!$AA$2:$AA$231,"Included (limited)")</f>
        <v>0</v>
      </c>
      <c r="F6" s="57" t="n">
        <f aca="false">COUNTIFS('Consolidated Data'!$B$2:$B$231,"Laura Lopez",'Consolidated Data'!$AA$2:$AA$231,"Available (extra cost)")</f>
        <v>0</v>
      </c>
      <c r="G6" s="57" t="n">
        <f aca="false">COUNTIFS('Consolidated Data'!$B$2:$B$231,"Laura Lopez",'Consolidated Data'!$AA$2:$AA$231,"Not provided")</f>
        <v>0</v>
      </c>
      <c r="H6" s="57" t="n">
        <f aca="false">COUNTIFS('Consolidated Data'!$B$2:$B$231,"Laura Lopez",'Consolidated Data'!$AA$2:$AA$231,"Not stated")</f>
        <v>160</v>
      </c>
      <c r="I6" s="57" t="n">
        <f aca="false">C6-H6</f>
        <v>55</v>
      </c>
      <c r="J6" s="58" t="n">
        <f aca="false">IF(C6=0,0,I6/C6)</f>
        <v>0.255813953488372</v>
      </c>
      <c r="K6" s="58" t="n">
        <f aca="false">IF(I6=0,0,(D6+E6)/I6)</f>
        <v>1</v>
      </c>
    </row>
    <row r="7" customFormat="false" ht="30" hidden="false" customHeight="true" outlineLevel="0" collapsed="false">
      <c r="A7" s="16" t="s">
        <v>54</v>
      </c>
      <c r="B7" s="56" t="s">
        <v>1512</v>
      </c>
      <c r="C7" s="57" t="n">
        <f aca="false">COUNTIF('Consolidated Data'!$B$2:$B$231,"Jennifer Saxman")</f>
        <v>11</v>
      </c>
      <c r="D7" s="57" t="n">
        <f aca="false">COUNTIFS('Consolidated Data'!$B$2:$B$231,"Jennifer Saxman",'Consolidated Data'!$AA$2:$AA$231,"Included")</f>
        <v>7</v>
      </c>
      <c r="E7" s="57" t="n">
        <f aca="false">COUNTIFS('Consolidated Data'!$B$2:$B$231,"Jennifer Saxman",'Consolidated Data'!$AA$2:$AA$231,"Included (limited)")</f>
        <v>0</v>
      </c>
      <c r="F7" s="57" t="n">
        <f aca="false">COUNTIFS('Consolidated Data'!$B$2:$B$231,"Jennifer Saxman",'Consolidated Data'!$AA$2:$AA$231,"Available (extra cost)")</f>
        <v>3</v>
      </c>
      <c r="G7" s="57" t="n">
        <f aca="false">COUNTIFS('Consolidated Data'!$B$2:$B$231,"Jennifer Saxman",'Consolidated Data'!$AA$2:$AA$231,"Not provided")</f>
        <v>1</v>
      </c>
      <c r="H7" s="57" t="n">
        <f aca="false">COUNTIFS('Consolidated Data'!$B$2:$B$231,"Jennifer Saxman",'Consolidated Data'!$AA$2:$AA$231,"Not stated")</f>
        <v>0</v>
      </c>
      <c r="I7" s="57" t="n">
        <f aca="false">C7-H7</f>
        <v>11</v>
      </c>
      <c r="J7" s="58" t="n">
        <f aca="false">IF(C7=0,0,I7/C7)</f>
        <v>1</v>
      </c>
      <c r="K7" s="58" t="n">
        <f aca="false">IF(I7=0,0,(D7+E7)/I7)</f>
        <v>0.636363636363636</v>
      </c>
    </row>
    <row r="8" customFormat="false" ht="30" hidden="false" customHeight="true" outlineLevel="0" collapsed="false">
      <c r="A8" s="59" t="s">
        <v>55</v>
      </c>
      <c r="B8" s="60" t="s">
        <v>76</v>
      </c>
      <c r="C8" s="61" t="n">
        <f aca="false">COUNTIF('Consolidated Data'!$B$2:$B$231,"Laura Lopez")</f>
        <v>215</v>
      </c>
      <c r="D8" s="61" t="n">
        <f aca="false">COUNTIFS('Consolidated Data'!$B$2:$B$231,"Laura Lopez",'Consolidated Data'!$AB$2:$AB$231,"Included")</f>
        <v>52</v>
      </c>
      <c r="E8" s="61" t="n">
        <f aca="false">COUNTIFS('Consolidated Data'!$B$2:$B$231,"Laura Lopez",'Consolidated Data'!$AB$2:$AB$231,"Included (limited)")</f>
        <v>0</v>
      </c>
      <c r="F8" s="61" t="n">
        <f aca="false">COUNTIFS('Consolidated Data'!$B$2:$B$231,"Laura Lopez",'Consolidated Data'!$AB$2:$AB$231,"Available (extra cost)")</f>
        <v>2</v>
      </c>
      <c r="G8" s="61" t="n">
        <f aca="false">COUNTIFS('Consolidated Data'!$B$2:$B$231,"Laura Lopez",'Consolidated Data'!$AB$2:$AB$231,"Not provided")</f>
        <v>0</v>
      </c>
      <c r="H8" s="61" t="n">
        <f aca="false">COUNTIFS('Consolidated Data'!$B$2:$B$231,"Laura Lopez",'Consolidated Data'!$AB$2:$AB$231,"Not stated")</f>
        <v>161</v>
      </c>
      <c r="I8" s="61" t="n">
        <f aca="false">C8-H8</f>
        <v>54</v>
      </c>
      <c r="J8" s="62" t="n">
        <f aca="false">IF(C8=0,0,I8/C8)</f>
        <v>0.251162790697674</v>
      </c>
      <c r="K8" s="62" t="n">
        <f aca="false">IF(I8=0,0,(D8+E8)/I8)</f>
        <v>0.962962962962963</v>
      </c>
    </row>
    <row r="9" customFormat="false" ht="30" hidden="false" customHeight="true" outlineLevel="0" collapsed="false">
      <c r="A9" s="59" t="s">
        <v>55</v>
      </c>
      <c r="B9" s="60" t="s">
        <v>1512</v>
      </c>
      <c r="C9" s="61" t="n">
        <f aca="false">COUNTIF('Consolidated Data'!$B$2:$B$231,"Jennifer Saxman")</f>
        <v>11</v>
      </c>
      <c r="D9" s="61" t="n">
        <f aca="false">COUNTIFS('Consolidated Data'!$B$2:$B$231,"Jennifer Saxman",'Consolidated Data'!$AB$2:$AB$231,"Included")</f>
        <v>7</v>
      </c>
      <c r="E9" s="61" t="n">
        <f aca="false">COUNTIFS('Consolidated Data'!$B$2:$B$231,"Jennifer Saxman",'Consolidated Data'!$AB$2:$AB$231,"Included (limited)")</f>
        <v>1</v>
      </c>
      <c r="F9" s="61" t="n">
        <f aca="false">COUNTIFS('Consolidated Data'!$B$2:$B$231,"Jennifer Saxman",'Consolidated Data'!$AB$2:$AB$231,"Available (extra cost)")</f>
        <v>3</v>
      </c>
      <c r="G9" s="61" t="n">
        <f aca="false">COUNTIFS('Consolidated Data'!$B$2:$B$231,"Jennifer Saxman",'Consolidated Data'!$AB$2:$AB$231,"Not provided")</f>
        <v>0</v>
      </c>
      <c r="H9" s="61" t="n">
        <f aca="false">COUNTIFS('Consolidated Data'!$B$2:$B$231,"Jennifer Saxman",'Consolidated Data'!$AB$2:$AB$231,"Not stated")</f>
        <v>0</v>
      </c>
      <c r="I9" s="61" t="n">
        <f aca="false">C9-H9</f>
        <v>11</v>
      </c>
      <c r="J9" s="62" t="n">
        <f aca="false">IF(C9=0,0,I9/C9)</f>
        <v>1</v>
      </c>
      <c r="K9" s="62" t="n">
        <f aca="false">IF(I9=0,0,(D9+E9)/I9)</f>
        <v>0.727272727272727</v>
      </c>
    </row>
    <row r="10" customFormat="false" ht="30" hidden="false" customHeight="true" outlineLevel="0" collapsed="false">
      <c r="A10" s="16" t="s">
        <v>56</v>
      </c>
      <c r="B10" s="56" t="s">
        <v>76</v>
      </c>
      <c r="C10" s="57" t="n">
        <f aca="false">COUNTIF('Consolidated Data'!$B$2:$B$231,"Laura Lopez")</f>
        <v>215</v>
      </c>
      <c r="D10" s="57" t="n">
        <f aca="false">COUNTIFS('Consolidated Data'!$B$2:$B$231,"Laura Lopez",'Consolidated Data'!$AC$2:$AC$231,"Included")</f>
        <v>36</v>
      </c>
      <c r="E10" s="57" t="n">
        <f aca="false">COUNTIFS('Consolidated Data'!$B$2:$B$231,"Laura Lopez",'Consolidated Data'!$AC$2:$AC$231,"Included (limited)")</f>
        <v>0</v>
      </c>
      <c r="F10" s="57" t="n">
        <f aca="false">COUNTIFS('Consolidated Data'!$B$2:$B$231,"Laura Lopez",'Consolidated Data'!$AC$2:$AC$231,"Available (extra cost)")</f>
        <v>17</v>
      </c>
      <c r="G10" s="57" t="n">
        <f aca="false">COUNTIFS('Consolidated Data'!$B$2:$B$231,"Laura Lopez",'Consolidated Data'!$AC$2:$AC$231,"Not provided")</f>
        <v>0</v>
      </c>
      <c r="H10" s="57" t="n">
        <f aca="false">COUNTIFS('Consolidated Data'!$B$2:$B$231,"Laura Lopez",'Consolidated Data'!$AC$2:$AC$231,"Not stated")</f>
        <v>162</v>
      </c>
      <c r="I10" s="57" t="n">
        <f aca="false">C10-H10</f>
        <v>53</v>
      </c>
      <c r="J10" s="58" t="n">
        <f aca="false">IF(C10=0,0,I10/C10)</f>
        <v>0.246511627906977</v>
      </c>
      <c r="K10" s="58" t="n">
        <f aca="false">IF(I10=0,0,(D10+E10)/I10)</f>
        <v>0.679245283018868</v>
      </c>
    </row>
    <row r="11" customFormat="false" ht="30" hidden="false" customHeight="true" outlineLevel="0" collapsed="false">
      <c r="A11" s="16" t="s">
        <v>56</v>
      </c>
      <c r="B11" s="56" t="s">
        <v>1512</v>
      </c>
      <c r="C11" s="57" t="n">
        <f aca="false">COUNTIF('Consolidated Data'!$B$2:$B$231,"Jennifer Saxman")</f>
        <v>11</v>
      </c>
      <c r="D11" s="57" t="n">
        <f aca="false">COUNTIFS('Consolidated Data'!$B$2:$B$231,"Jennifer Saxman",'Consolidated Data'!$AC$2:$AC$231,"Included")</f>
        <v>3</v>
      </c>
      <c r="E11" s="57" t="n">
        <f aca="false">COUNTIFS('Consolidated Data'!$B$2:$B$231,"Jennifer Saxman",'Consolidated Data'!$AC$2:$AC$231,"Included (limited)")</f>
        <v>0</v>
      </c>
      <c r="F11" s="57" t="n">
        <f aca="false">COUNTIFS('Consolidated Data'!$B$2:$B$231,"Jennifer Saxman",'Consolidated Data'!$AC$2:$AC$231,"Available (extra cost)")</f>
        <v>7</v>
      </c>
      <c r="G11" s="57" t="n">
        <f aca="false">COUNTIFS('Consolidated Data'!$B$2:$B$231,"Jennifer Saxman",'Consolidated Data'!$AC$2:$AC$231,"Not provided")</f>
        <v>1</v>
      </c>
      <c r="H11" s="57" t="n">
        <f aca="false">COUNTIFS('Consolidated Data'!$B$2:$B$231,"Jennifer Saxman",'Consolidated Data'!$AC$2:$AC$231,"Not stated")</f>
        <v>0</v>
      </c>
      <c r="I11" s="57" t="n">
        <f aca="false">C11-H11</f>
        <v>11</v>
      </c>
      <c r="J11" s="58" t="n">
        <f aca="false">IF(C11=0,0,I11/C11)</f>
        <v>1</v>
      </c>
      <c r="K11" s="58" t="n">
        <f aca="false">IF(I11=0,0,(D11+E11)/I11)</f>
        <v>0.272727272727273</v>
      </c>
    </row>
    <row r="12" customFormat="false" ht="30" hidden="false" customHeight="true" outlineLevel="0" collapsed="false">
      <c r="A12" s="59" t="s">
        <v>57</v>
      </c>
      <c r="B12" s="60" t="s">
        <v>76</v>
      </c>
      <c r="C12" s="61" t="n">
        <f aca="false">COUNTIF('Consolidated Data'!$B$2:$B$231,"Laura Lopez")</f>
        <v>215</v>
      </c>
      <c r="D12" s="61" t="n">
        <f aca="false">COUNTIFS('Consolidated Data'!$B$2:$B$231,"Laura Lopez",'Consolidated Data'!$AD$2:$AD$231,"Included")</f>
        <v>60</v>
      </c>
      <c r="E12" s="61" t="n">
        <f aca="false">COUNTIFS('Consolidated Data'!$B$2:$B$231,"Laura Lopez",'Consolidated Data'!$AD$2:$AD$231,"Included (limited)")</f>
        <v>0</v>
      </c>
      <c r="F12" s="61" t="n">
        <f aca="false">COUNTIFS('Consolidated Data'!$B$2:$B$231,"Laura Lopez",'Consolidated Data'!$AD$2:$AD$231,"Available (extra cost)")</f>
        <v>9</v>
      </c>
      <c r="G12" s="61" t="n">
        <f aca="false">COUNTIFS('Consolidated Data'!$B$2:$B$231,"Laura Lopez",'Consolidated Data'!$AD$2:$AD$231,"Not provided")</f>
        <v>0</v>
      </c>
      <c r="H12" s="61" t="n">
        <f aca="false">COUNTIFS('Consolidated Data'!$B$2:$B$231,"Laura Lopez",'Consolidated Data'!$AD$2:$AD$231,"Not stated")</f>
        <v>146</v>
      </c>
      <c r="I12" s="61" t="n">
        <f aca="false">C12-H12</f>
        <v>69</v>
      </c>
      <c r="J12" s="62" t="n">
        <f aca="false">IF(C12=0,0,I12/C12)</f>
        <v>0.32093023255814</v>
      </c>
      <c r="K12" s="62" t="n">
        <f aca="false">IF(I12=0,0,(D12+E12)/I12)</f>
        <v>0.869565217391304</v>
      </c>
    </row>
    <row r="13" customFormat="false" ht="30" hidden="false" customHeight="true" outlineLevel="0" collapsed="false">
      <c r="A13" s="59" t="s">
        <v>57</v>
      </c>
      <c r="B13" s="60" t="s">
        <v>1512</v>
      </c>
      <c r="C13" s="61" t="n">
        <f aca="false">COUNTIF('Consolidated Data'!$B$2:$B$231,"Jennifer Saxman")</f>
        <v>11</v>
      </c>
      <c r="D13" s="61" t="n">
        <f aca="false">COUNTIFS('Consolidated Data'!$B$2:$B$231,"Jennifer Saxman",'Consolidated Data'!$AD$2:$AD$231,"Included")</f>
        <v>6</v>
      </c>
      <c r="E13" s="61" t="n">
        <f aca="false">COUNTIFS('Consolidated Data'!$B$2:$B$231,"Jennifer Saxman",'Consolidated Data'!$AD$2:$AD$231,"Included (limited)")</f>
        <v>0</v>
      </c>
      <c r="F13" s="61" t="n">
        <f aca="false">COUNTIFS('Consolidated Data'!$B$2:$B$231,"Jennifer Saxman",'Consolidated Data'!$AD$2:$AD$231,"Available (extra cost)")</f>
        <v>5</v>
      </c>
      <c r="G13" s="61" t="n">
        <f aca="false">COUNTIFS('Consolidated Data'!$B$2:$B$231,"Jennifer Saxman",'Consolidated Data'!$AD$2:$AD$231,"Not provided")</f>
        <v>0</v>
      </c>
      <c r="H13" s="61" t="n">
        <f aca="false">COUNTIFS('Consolidated Data'!$B$2:$B$231,"Jennifer Saxman",'Consolidated Data'!$AD$2:$AD$231,"Not stated")</f>
        <v>0</v>
      </c>
      <c r="I13" s="61" t="n">
        <f aca="false">C13-H13</f>
        <v>11</v>
      </c>
      <c r="J13" s="62" t="n">
        <f aca="false">IF(C13=0,0,I13/C13)</f>
        <v>1</v>
      </c>
      <c r="K13" s="62" t="n">
        <f aca="false">IF(I13=0,0,(D13+E13)/I13)</f>
        <v>0.545454545454545</v>
      </c>
    </row>
    <row r="14" customFormat="false" ht="30" hidden="false" customHeight="true" outlineLevel="0" collapsed="false">
      <c r="A14" s="16" t="s">
        <v>58</v>
      </c>
      <c r="B14" s="56" t="s">
        <v>76</v>
      </c>
      <c r="C14" s="57" t="n">
        <f aca="false">COUNTIF('Consolidated Data'!$B$2:$B$231,"Laura Lopez")</f>
        <v>215</v>
      </c>
      <c r="D14" s="57" t="n">
        <f aca="false">COUNTIFS('Consolidated Data'!$B$2:$B$231,"Laura Lopez",'Consolidated Data'!$AE$2:$AE$231,"Included")</f>
        <v>48</v>
      </c>
      <c r="E14" s="57" t="n">
        <f aca="false">COUNTIFS('Consolidated Data'!$B$2:$B$231,"Laura Lopez",'Consolidated Data'!$AE$2:$AE$231,"Included (limited)")</f>
        <v>0</v>
      </c>
      <c r="F14" s="57" t="n">
        <f aca="false">COUNTIFS('Consolidated Data'!$B$2:$B$231,"Laura Lopez",'Consolidated Data'!$AE$2:$AE$231,"Available (extra cost)")</f>
        <v>12</v>
      </c>
      <c r="G14" s="57" t="n">
        <f aca="false">COUNTIFS('Consolidated Data'!$B$2:$B$231,"Laura Lopez",'Consolidated Data'!$AE$2:$AE$231,"Not provided")</f>
        <v>0</v>
      </c>
      <c r="H14" s="57" t="n">
        <f aca="false">COUNTIFS('Consolidated Data'!$B$2:$B$231,"Laura Lopez",'Consolidated Data'!$AE$2:$AE$231,"Not stated")</f>
        <v>155</v>
      </c>
      <c r="I14" s="57" t="n">
        <f aca="false">C14-H14</f>
        <v>60</v>
      </c>
      <c r="J14" s="58" t="n">
        <f aca="false">IF(C14=0,0,I14/C14)</f>
        <v>0.27906976744186</v>
      </c>
      <c r="K14" s="58" t="n">
        <f aca="false">IF(I14=0,0,(D14+E14)/I14)</f>
        <v>0.8</v>
      </c>
    </row>
    <row r="15" customFormat="false" ht="30" hidden="false" customHeight="true" outlineLevel="0" collapsed="false">
      <c r="A15" s="16" t="s">
        <v>58</v>
      </c>
      <c r="B15" s="56" t="s">
        <v>1512</v>
      </c>
      <c r="C15" s="57" t="n">
        <f aca="false">COUNTIF('Consolidated Data'!$B$2:$B$231,"Jennifer Saxman")</f>
        <v>11</v>
      </c>
      <c r="D15" s="57" t="n">
        <f aca="false">COUNTIFS('Consolidated Data'!$B$2:$B$231,"Jennifer Saxman",'Consolidated Data'!$AE$2:$AE$231,"Included")</f>
        <v>7</v>
      </c>
      <c r="E15" s="57" t="n">
        <f aca="false">COUNTIFS('Consolidated Data'!$B$2:$B$231,"Jennifer Saxman",'Consolidated Data'!$AE$2:$AE$231,"Included (limited)")</f>
        <v>1</v>
      </c>
      <c r="F15" s="57" t="n">
        <f aca="false">COUNTIFS('Consolidated Data'!$B$2:$B$231,"Jennifer Saxman",'Consolidated Data'!$AE$2:$AE$231,"Available (extra cost)")</f>
        <v>3</v>
      </c>
      <c r="G15" s="57" t="n">
        <f aca="false">COUNTIFS('Consolidated Data'!$B$2:$B$231,"Jennifer Saxman",'Consolidated Data'!$AE$2:$AE$231,"Not provided")</f>
        <v>0</v>
      </c>
      <c r="H15" s="57" t="n">
        <f aca="false">COUNTIFS('Consolidated Data'!$B$2:$B$231,"Jennifer Saxman",'Consolidated Data'!$AE$2:$AE$231,"Not stated")</f>
        <v>0</v>
      </c>
      <c r="I15" s="57" t="n">
        <f aca="false">C15-H15</f>
        <v>11</v>
      </c>
      <c r="J15" s="58" t="n">
        <f aca="false">IF(C15=0,0,I15/C15)</f>
        <v>1</v>
      </c>
      <c r="K15" s="58" t="n">
        <f aca="false">IF(I15=0,0,(D15+E15)/I15)</f>
        <v>0.727272727272727</v>
      </c>
    </row>
    <row r="16" customFormat="false" ht="30" hidden="false" customHeight="true" outlineLevel="0" collapsed="false">
      <c r="A16" s="59" t="s">
        <v>59</v>
      </c>
      <c r="B16" s="60" t="s">
        <v>76</v>
      </c>
      <c r="C16" s="61" t="n">
        <f aca="false">COUNTIF('Consolidated Data'!$B$2:$B$231,"Laura Lopez")</f>
        <v>215</v>
      </c>
      <c r="D16" s="61" t="n">
        <f aca="false">COUNTIFS('Consolidated Data'!$B$2:$B$231,"Laura Lopez",'Consolidated Data'!$AF$2:$AF$231,"Included")</f>
        <v>74</v>
      </c>
      <c r="E16" s="61" t="n">
        <f aca="false">COUNTIFS('Consolidated Data'!$B$2:$B$231,"Laura Lopez",'Consolidated Data'!$AF$2:$AF$231,"Included (limited)")</f>
        <v>0</v>
      </c>
      <c r="F16" s="61" t="n">
        <f aca="false">COUNTIFS('Consolidated Data'!$B$2:$B$231,"Laura Lopez",'Consolidated Data'!$AF$2:$AF$231,"Available (extra cost)")</f>
        <v>2</v>
      </c>
      <c r="G16" s="61" t="n">
        <f aca="false">COUNTIFS('Consolidated Data'!$B$2:$B$231,"Laura Lopez",'Consolidated Data'!$AF$2:$AF$231,"Not provided")</f>
        <v>0</v>
      </c>
      <c r="H16" s="61" t="n">
        <f aca="false">COUNTIFS('Consolidated Data'!$B$2:$B$231,"Laura Lopez",'Consolidated Data'!$AF$2:$AF$231,"Not stated")</f>
        <v>139</v>
      </c>
      <c r="I16" s="61" t="n">
        <f aca="false">C16-H16</f>
        <v>76</v>
      </c>
      <c r="J16" s="62" t="n">
        <f aca="false">IF(C16=0,0,I16/C16)</f>
        <v>0.353488372093023</v>
      </c>
      <c r="K16" s="62" t="n">
        <f aca="false">IF(I16=0,0,(D16+E16)/I16)</f>
        <v>0.973684210526316</v>
      </c>
    </row>
    <row r="17" customFormat="false" ht="30" hidden="false" customHeight="true" outlineLevel="0" collapsed="false">
      <c r="A17" s="59" t="s">
        <v>59</v>
      </c>
      <c r="B17" s="60" t="s">
        <v>1512</v>
      </c>
      <c r="C17" s="61" t="n">
        <f aca="false">COUNTIF('Consolidated Data'!$B$2:$B$231,"Jennifer Saxman")</f>
        <v>11</v>
      </c>
      <c r="D17" s="61" t="n">
        <f aca="false">COUNTIFS('Consolidated Data'!$B$2:$B$231,"Jennifer Saxman",'Consolidated Data'!$AF$2:$AF$231,"Included")</f>
        <v>9</v>
      </c>
      <c r="E17" s="61" t="n">
        <f aca="false">COUNTIFS('Consolidated Data'!$B$2:$B$231,"Jennifer Saxman",'Consolidated Data'!$AF$2:$AF$231,"Included (limited)")</f>
        <v>0</v>
      </c>
      <c r="F17" s="61" t="n">
        <f aca="false">COUNTIFS('Consolidated Data'!$B$2:$B$231,"Jennifer Saxman",'Consolidated Data'!$AF$2:$AF$231,"Available (extra cost)")</f>
        <v>2</v>
      </c>
      <c r="G17" s="61" t="n">
        <f aca="false">COUNTIFS('Consolidated Data'!$B$2:$B$231,"Jennifer Saxman",'Consolidated Data'!$AF$2:$AF$231,"Not provided")</f>
        <v>0</v>
      </c>
      <c r="H17" s="61" t="n">
        <f aca="false">COUNTIFS('Consolidated Data'!$B$2:$B$231,"Jennifer Saxman",'Consolidated Data'!$AF$2:$AF$231,"Not stated")</f>
        <v>0</v>
      </c>
      <c r="I17" s="61" t="n">
        <f aca="false">C17-H17</f>
        <v>11</v>
      </c>
      <c r="J17" s="62" t="n">
        <f aca="false">IF(C17=0,0,I17/C17)</f>
        <v>1</v>
      </c>
      <c r="K17" s="62" t="n">
        <f aca="false">IF(I17=0,0,(D17+E17)/I17)</f>
        <v>0.818181818181818</v>
      </c>
    </row>
    <row r="18" customFormat="false" ht="30" hidden="false" customHeight="true" outlineLevel="0" collapsed="false">
      <c r="A18" s="16" t="s">
        <v>60</v>
      </c>
      <c r="B18" s="56" t="s">
        <v>76</v>
      </c>
      <c r="C18" s="57" t="n">
        <f aca="false">COUNTIF('Consolidated Data'!$B$2:$B$231,"Laura Lopez")</f>
        <v>215</v>
      </c>
      <c r="D18" s="57" t="n">
        <f aca="false">COUNTIFS('Consolidated Data'!$B$2:$B$231,"Laura Lopez",'Consolidated Data'!$AG$2:$AG$231,"Included")</f>
        <v>102</v>
      </c>
      <c r="E18" s="57" t="n">
        <f aca="false">COUNTIFS('Consolidated Data'!$B$2:$B$231,"Laura Lopez",'Consolidated Data'!$AG$2:$AG$231,"Included (limited)")</f>
        <v>0</v>
      </c>
      <c r="F18" s="57" t="n">
        <f aca="false">COUNTIFS('Consolidated Data'!$B$2:$B$231,"Laura Lopez",'Consolidated Data'!$AG$2:$AG$231,"Available (extra cost)")</f>
        <v>1</v>
      </c>
      <c r="G18" s="57" t="n">
        <f aca="false">COUNTIFS('Consolidated Data'!$B$2:$B$231,"Laura Lopez",'Consolidated Data'!$AG$2:$AG$231,"Not provided")</f>
        <v>0</v>
      </c>
      <c r="H18" s="57" t="n">
        <f aca="false">COUNTIFS('Consolidated Data'!$B$2:$B$231,"Laura Lopez",'Consolidated Data'!$AG$2:$AG$231,"Not stated")</f>
        <v>112</v>
      </c>
      <c r="I18" s="57" t="n">
        <f aca="false">C18-H18</f>
        <v>103</v>
      </c>
      <c r="J18" s="58" t="n">
        <f aca="false">IF(C18=0,0,I18/C18)</f>
        <v>0.479069767441861</v>
      </c>
      <c r="K18" s="58" t="n">
        <f aca="false">IF(I18=0,0,(D18+E18)/I18)</f>
        <v>0.990291262135922</v>
      </c>
    </row>
    <row r="19" customFormat="false" ht="30" hidden="false" customHeight="true" outlineLevel="0" collapsed="false">
      <c r="A19" s="16" t="s">
        <v>60</v>
      </c>
      <c r="B19" s="56" t="s">
        <v>1512</v>
      </c>
      <c r="C19" s="57" t="n">
        <f aca="false">COUNTIF('Consolidated Data'!$B$2:$B$231,"Jennifer Saxman")</f>
        <v>11</v>
      </c>
      <c r="D19" s="57" t="n">
        <f aca="false">COUNTIFS('Consolidated Data'!$B$2:$B$231,"Jennifer Saxman",'Consolidated Data'!$AG$2:$AG$231,"Included")</f>
        <v>11</v>
      </c>
      <c r="E19" s="57" t="n">
        <f aca="false">COUNTIFS('Consolidated Data'!$B$2:$B$231,"Jennifer Saxman",'Consolidated Data'!$AG$2:$AG$231,"Included (limited)")</f>
        <v>0</v>
      </c>
      <c r="F19" s="57" t="n">
        <f aca="false">COUNTIFS('Consolidated Data'!$B$2:$B$231,"Jennifer Saxman",'Consolidated Data'!$AG$2:$AG$231,"Available (extra cost)")</f>
        <v>0</v>
      </c>
      <c r="G19" s="57" t="n">
        <f aca="false">COUNTIFS('Consolidated Data'!$B$2:$B$231,"Jennifer Saxman",'Consolidated Data'!$AG$2:$AG$231,"Not provided")</f>
        <v>0</v>
      </c>
      <c r="H19" s="57" t="n">
        <f aca="false">COUNTIFS('Consolidated Data'!$B$2:$B$231,"Jennifer Saxman",'Consolidated Data'!$AG$2:$AG$231,"Not stated")</f>
        <v>0</v>
      </c>
      <c r="I19" s="57" t="n">
        <f aca="false">C19-H19</f>
        <v>11</v>
      </c>
      <c r="J19" s="58" t="n">
        <f aca="false">IF(C19=0,0,I19/C19)</f>
        <v>1</v>
      </c>
      <c r="K19" s="58" t="n">
        <f aca="false">IF(I19=0,0,(D19+E19)/I19)</f>
        <v>1</v>
      </c>
    </row>
    <row r="20" customFormat="false" ht="30" hidden="false" customHeight="true" outlineLevel="0" collapsed="false">
      <c r="A20" s="59" t="s">
        <v>61</v>
      </c>
      <c r="B20" s="60" t="s">
        <v>76</v>
      </c>
      <c r="C20" s="61" t="n">
        <f aca="false">COUNTIF('Consolidated Data'!$B$2:$B$231,"Laura Lopez")</f>
        <v>215</v>
      </c>
      <c r="D20" s="61" t="n">
        <f aca="false">COUNTIFS('Consolidated Data'!$B$2:$B$231,"Laura Lopez",'Consolidated Data'!$AH$2:$AH$231,"Included")</f>
        <v>118</v>
      </c>
      <c r="E20" s="61" t="n">
        <f aca="false">COUNTIFS('Consolidated Data'!$B$2:$B$231,"Laura Lopez",'Consolidated Data'!$AH$2:$AH$231,"Included (limited)")</f>
        <v>0</v>
      </c>
      <c r="F20" s="61" t="n">
        <f aca="false">COUNTIFS('Consolidated Data'!$B$2:$B$231,"Laura Lopez",'Consolidated Data'!$AH$2:$AH$231,"Available (extra cost)")</f>
        <v>2</v>
      </c>
      <c r="G20" s="61" t="n">
        <f aca="false">COUNTIFS('Consolidated Data'!$B$2:$B$231,"Laura Lopez",'Consolidated Data'!$AH$2:$AH$231,"Not provided")</f>
        <v>0</v>
      </c>
      <c r="H20" s="61" t="n">
        <f aca="false">COUNTIFS('Consolidated Data'!$B$2:$B$231,"Laura Lopez",'Consolidated Data'!$AH$2:$AH$231,"Not stated")</f>
        <v>95</v>
      </c>
      <c r="I20" s="61" t="n">
        <f aca="false">C20-H20</f>
        <v>120</v>
      </c>
      <c r="J20" s="62" t="n">
        <f aca="false">IF(C20=0,0,I20/C20)</f>
        <v>0.558139534883721</v>
      </c>
      <c r="K20" s="62" t="n">
        <f aca="false">IF(I20=0,0,(D20+E20)/I20)</f>
        <v>0.983333333333333</v>
      </c>
    </row>
    <row r="21" customFormat="false" ht="30" hidden="false" customHeight="true" outlineLevel="0" collapsed="false">
      <c r="A21" s="59" t="s">
        <v>61</v>
      </c>
      <c r="B21" s="60" t="s">
        <v>1512</v>
      </c>
      <c r="C21" s="61" t="n">
        <f aca="false">COUNTIF('Consolidated Data'!$B$2:$B$231,"Jennifer Saxman")</f>
        <v>11</v>
      </c>
      <c r="D21" s="61" t="n">
        <f aca="false">COUNTIFS('Consolidated Data'!$B$2:$B$231,"Jennifer Saxman",'Consolidated Data'!$AH$2:$AH$231,"Included")</f>
        <v>11</v>
      </c>
      <c r="E21" s="61" t="n">
        <f aca="false">COUNTIFS('Consolidated Data'!$B$2:$B$231,"Jennifer Saxman",'Consolidated Data'!$AH$2:$AH$231,"Included (limited)")</f>
        <v>0</v>
      </c>
      <c r="F21" s="61" t="n">
        <f aca="false">COUNTIFS('Consolidated Data'!$B$2:$B$231,"Jennifer Saxman",'Consolidated Data'!$AH$2:$AH$231,"Available (extra cost)")</f>
        <v>0</v>
      </c>
      <c r="G21" s="61" t="n">
        <f aca="false">COUNTIFS('Consolidated Data'!$B$2:$B$231,"Jennifer Saxman",'Consolidated Data'!$AH$2:$AH$231,"Not provided")</f>
        <v>0</v>
      </c>
      <c r="H21" s="61" t="n">
        <f aca="false">COUNTIFS('Consolidated Data'!$B$2:$B$231,"Jennifer Saxman",'Consolidated Data'!$AH$2:$AH$231,"Not stated")</f>
        <v>0</v>
      </c>
      <c r="I21" s="61" t="n">
        <f aca="false">C21-H21</f>
        <v>11</v>
      </c>
      <c r="J21" s="62" t="n">
        <f aca="false">IF(C21=0,0,I21/C21)</f>
        <v>1</v>
      </c>
      <c r="K21" s="62" t="n">
        <f aca="false">IF(I21=0,0,(D21+E21)/I21)</f>
        <v>1</v>
      </c>
    </row>
    <row r="22" customFormat="false" ht="30" hidden="false" customHeight="true" outlineLevel="0" collapsed="false">
      <c r="A22" s="16" t="s">
        <v>62</v>
      </c>
      <c r="B22" s="56" t="s">
        <v>76</v>
      </c>
      <c r="C22" s="57" t="n">
        <f aca="false">COUNTIF('Consolidated Data'!$B$2:$B$231,"Laura Lopez")</f>
        <v>215</v>
      </c>
      <c r="D22" s="57" t="n">
        <f aca="false">COUNTIFS('Consolidated Data'!$B$2:$B$231,"Laura Lopez",'Consolidated Data'!$AI$2:$AI$231,"Included")</f>
        <v>10</v>
      </c>
      <c r="E22" s="57" t="n">
        <f aca="false">COUNTIFS('Consolidated Data'!$B$2:$B$231,"Laura Lopez",'Consolidated Data'!$AI$2:$AI$231,"Included (limited)")</f>
        <v>0</v>
      </c>
      <c r="F22" s="57" t="n">
        <f aca="false">COUNTIFS('Consolidated Data'!$B$2:$B$231,"Laura Lopez",'Consolidated Data'!$AI$2:$AI$231,"Available (extra cost)")</f>
        <v>4</v>
      </c>
      <c r="G22" s="57" t="n">
        <f aca="false">COUNTIFS('Consolidated Data'!$B$2:$B$231,"Laura Lopez",'Consolidated Data'!$AI$2:$AI$231,"Not provided")</f>
        <v>0</v>
      </c>
      <c r="H22" s="57" t="n">
        <f aca="false">COUNTIFS('Consolidated Data'!$B$2:$B$231,"Laura Lopez",'Consolidated Data'!$AI$2:$AI$231,"Not stated")</f>
        <v>201</v>
      </c>
      <c r="I22" s="57" t="n">
        <f aca="false">C22-H22</f>
        <v>14</v>
      </c>
      <c r="J22" s="58" t="n">
        <f aca="false">IF(C22=0,0,I22/C22)</f>
        <v>0.0651162790697674</v>
      </c>
      <c r="K22" s="58" t="n">
        <f aca="false">IF(I22=0,0,(D22+E22)/I22)</f>
        <v>0.714285714285714</v>
      </c>
    </row>
    <row r="23" customFormat="false" ht="30" hidden="false" customHeight="true" outlineLevel="0" collapsed="false">
      <c r="A23" s="16" t="s">
        <v>62</v>
      </c>
      <c r="B23" s="56" t="s">
        <v>1512</v>
      </c>
      <c r="C23" s="57" t="n">
        <f aca="false">COUNTIF('Consolidated Data'!$B$2:$B$231,"Jennifer Saxman")</f>
        <v>11</v>
      </c>
      <c r="D23" s="57" t="n">
        <f aca="false">COUNTIFS('Consolidated Data'!$B$2:$B$231,"Jennifer Saxman",'Consolidated Data'!$AI$2:$AI$231,"Included")</f>
        <v>5</v>
      </c>
      <c r="E23" s="57" t="n">
        <f aca="false">COUNTIFS('Consolidated Data'!$B$2:$B$231,"Jennifer Saxman",'Consolidated Data'!$AI$2:$AI$231,"Included (limited)")</f>
        <v>1</v>
      </c>
      <c r="F23" s="57" t="n">
        <f aca="false">COUNTIFS('Consolidated Data'!$B$2:$B$231,"Jennifer Saxman",'Consolidated Data'!$AI$2:$AI$231,"Available (extra cost)")</f>
        <v>5</v>
      </c>
      <c r="G23" s="57" t="n">
        <f aca="false">COUNTIFS('Consolidated Data'!$B$2:$B$231,"Jennifer Saxman",'Consolidated Data'!$AI$2:$AI$231,"Not provided")</f>
        <v>0</v>
      </c>
      <c r="H23" s="57" t="n">
        <f aca="false">COUNTIFS('Consolidated Data'!$B$2:$B$231,"Jennifer Saxman",'Consolidated Data'!$AI$2:$AI$231,"Not stated")</f>
        <v>0</v>
      </c>
      <c r="I23" s="57" t="n">
        <f aca="false">C23-H23</f>
        <v>11</v>
      </c>
      <c r="J23" s="58" t="n">
        <f aca="false">IF(C23=0,0,I23/C23)</f>
        <v>1</v>
      </c>
      <c r="K23" s="58" t="n">
        <f aca="false">IF(I23=0,0,(D23+E23)/I23)</f>
        <v>0.545454545454545</v>
      </c>
    </row>
    <row r="24" customFormat="false" ht="42" hidden="false" customHeight="true" outlineLevel="0" collapsed="false">
      <c r="A24" s="63" t="s">
        <v>1624</v>
      </c>
      <c r="B24" s="63"/>
      <c r="C24" s="63"/>
      <c r="D24" s="63"/>
      <c r="E24" s="63"/>
      <c r="F24" s="63"/>
      <c r="G24" s="63"/>
      <c r="H24" s="63"/>
      <c r="I24" s="63"/>
      <c r="J24" s="63"/>
      <c r="K24" s="63"/>
    </row>
    <row r="26" customFormat="false" ht="15" hidden="false" customHeight="false" outlineLevel="0" collapsed="false">
      <c r="A26" s="7" t="s">
        <v>1625</v>
      </c>
    </row>
    <row r="27" customFormat="false" ht="15" hidden="false" customHeight="false" outlineLevel="0" collapsed="false">
      <c r="A27" s="3" t="s">
        <v>1626</v>
      </c>
      <c r="B27" s="3" t="s">
        <v>1627</v>
      </c>
      <c r="C27" s="3" t="s">
        <v>1628</v>
      </c>
    </row>
    <row r="28" customFormat="false" ht="15" hidden="false" customHeight="false" outlineLevel="0" collapsed="false">
      <c r="A28" s="5" t="s">
        <v>1629</v>
      </c>
      <c r="B28" s="5" t="n">
        <f aca="false">COUNTIFS('Consolidated Data'!$B$2:$B$231,"Laura Lopez",'Consolidated Data'!$K$2:$K$231,"&gt;0")</f>
        <v>54</v>
      </c>
      <c r="C28" s="5" t="s">
        <v>1630</v>
      </c>
    </row>
    <row r="29" customFormat="false" ht="15" hidden="false" customHeight="false" outlineLevel="0" collapsed="false">
      <c r="A29" s="5" t="s">
        <v>1631</v>
      </c>
      <c r="B29" s="64" t="n">
        <f aca="false">MIN('Consolidated Data'!$K$2:$K$216)</f>
        <v>515</v>
      </c>
      <c r="C29" s="5" t="s">
        <v>1632</v>
      </c>
    </row>
    <row r="30" customFormat="false" ht="23.85" hidden="false" customHeight="false" outlineLevel="0" collapsed="false">
      <c r="A30" s="5" t="s">
        <v>1633</v>
      </c>
      <c r="B30" s="64" t="n">
        <f aca="false">MEDIAN('Consolidated Data'!$K$2:$K$216)</f>
        <v>2799.5</v>
      </c>
      <c r="C30" s="5" t="s">
        <v>1634</v>
      </c>
    </row>
    <row r="31" customFormat="false" ht="15" hidden="false" customHeight="false" outlineLevel="0" collapsed="false">
      <c r="A31" s="5" t="s">
        <v>1635</v>
      </c>
      <c r="B31" s="64" t="n">
        <f aca="false">MAX('Consolidated Data'!$L$2:$L$216)</f>
        <v>6900</v>
      </c>
      <c r="C31" s="5" t="s">
        <v>1636</v>
      </c>
    </row>
    <row r="32" customFormat="false" ht="23.85" hidden="false" customHeight="false" outlineLevel="0" collapsed="false">
      <c r="A32" s="5" t="s">
        <v>1637</v>
      </c>
      <c r="B32" s="5" t="n">
        <f aca="false">COUNTIFS('Consolidated Data'!$B$2:$B$231,"Laura Lopez",'Consolidated Data'!$M$2:$M$231,"Yes")</f>
        <v>63</v>
      </c>
      <c r="C32" s="5" t="s">
        <v>1638</v>
      </c>
    </row>
    <row r="33" customFormat="false" ht="15" hidden="false" customHeight="false" outlineLevel="0" collapsed="false">
      <c r="A33" s="5" t="s">
        <v>1639</v>
      </c>
      <c r="B33" s="5" t="n">
        <f aca="false">COUNTIFS('Consolidated Data'!$B$2:$B$231,"Laura Lopez",'Consolidated Data'!$M$2:$M$231,"CCRC (entry fee not stated)")</f>
        <v>35</v>
      </c>
      <c r="C33" s="5" t="s">
        <v>1638</v>
      </c>
    </row>
    <row r="34" customFormat="false" ht="15" hidden="false" customHeight="false" outlineLevel="0" collapsed="false">
      <c r="A34" s="5" t="s">
        <v>1640</v>
      </c>
      <c r="B34" s="5" t="s">
        <v>1641</v>
      </c>
      <c r="C34" s="5" t="s">
        <v>1642</v>
      </c>
    </row>
    <row r="35" customFormat="false" ht="15" hidden="false" customHeight="false" outlineLevel="0" collapsed="false">
      <c r="A35" s="5" t="s">
        <v>1643</v>
      </c>
      <c r="B35" s="5" t="s">
        <v>1644</v>
      </c>
      <c r="C35" s="5" t="s">
        <v>1645</v>
      </c>
    </row>
    <row r="36" customFormat="false" ht="15" hidden="false" customHeight="false" outlineLevel="0" collapsed="false">
      <c r="A36" s="5" t="s">
        <v>1646</v>
      </c>
      <c r="B36" s="5" t="s">
        <v>1647</v>
      </c>
      <c r="C36" s="5" t="s">
        <v>1645</v>
      </c>
    </row>
    <row r="37" customFormat="false" ht="23.85" hidden="false" customHeight="false" outlineLevel="0" collapsed="false">
      <c r="A37" s="5" t="s">
        <v>1648</v>
      </c>
      <c r="B37" s="5" t="s">
        <v>1649</v>
      </c>
      <c r="C37" s="5" t="s">
        <v>1650</v>
      </c>
    </row>
    <row r="38" customFormat="false" ht="15" hidden="false" customHeight="false" outlineLevel="0" collapsed="false">
      <c r="A38" s="5" t="s">
        <v>1651</v>
      </c>
      <c r="B38" s="5" t="s">
        <v>1652</v>
      </c>
      <c r="C38" s="5" t="s">
        <v>1645</v>
      </c>
    </row>
    <row r="39" customFormat="false" ht="15" hidden="false" customHeight="false" outlineLevel="0" collapsed="false">
      <c r="A39" s="5" t="s">
        <v>1653</v>
      </c>
      <c r="B39" s="5" t="s">
        <v>1654</v>
      </c>
      <c r="C39" s="5" t="s">
        <v>1645</v>
      </c>
    </row>
    <row r="40" customFormat="false" ht="23.85" hidden="false" customHeight="false" outlineLevel="0" collapsed="false">
      <c r="A40" s="5" t="s">
        <v>1655</v>
      </c>
      <c r="B40" s="5" t="s">
        <v>1656</v>
      </c>
      <c r="C40" s="5" t="s">
        <v>1657</v>
      </c>
    </row>
    <row r="41" customFormat="false" ht="23.85" hidden="false" customHeight="false" outlineLevel="0" collapsed="false">
      <c r="A41" s="5" t="s">
        <v>1658</v>
      </c>
      <c r="B41" s="5" t="s">
        <v>1659</v>
      </c>
      <c r="C41" s="5" t="s">
        <v>1660</v>
      </c>
    </row>
    <row r="42" customFormat="false" ht="54" hidden="false" customHeight="true" outlineLevel="0" collapsed="false">
      <c r="A42" s="63" t="s">
        <v>1661</v>
      </c>
      <c r="B42" s="63"/>
      <c r="C42" s="63"/>
    </row>
    <row r="44" customFormat="false" ht="15" hidden="false" customHeight="false" outlineLevel="0" collapsed="false">
      <c r="A44" s="7" t="s">
        <v>1662</v>
      </c>
    </row>
    <row r="45" customFormat="false" ht="23.85" hidden="false" customHeight="false" outlineLevel="0" collapsed="false">
      <c r="A45" s="3" t="s">
        <v>1618</v>
      </c>
      <c r="B45" s="3" t="s">
        <v>1663</v>
      </c>
      <c r="C45" s="3" t="s">
        <v>1664</v>
      </c>
      <c r="D45" s="3" t="s">
        <v>1665</v>
      </c>
      <c r="E45" s="3" t="s">
        <v>1666</v>
      </c>
      <c r="F45" s="3" t="s">
        <v>1667</v>
      </c>
    </row>
    <row r="46" customFormat="false" ht="169.5" hidden="false" customHeight="true" outlineLevel="0" collapsed="false">
      <c r="A46" s="4" t="s">
        <v>54</v>
      </c>
      <c r="B46" s="56" t="s">
        <v>1668</v>
      </c>
      <c r="C46" s="56" t="s">
        <v>1669</v>
      </c>
      <c r="D46" s="56" t="s">
        <v>1670</v>
      </c>
      <c r="E46" s="56" t="s">
        <v>1671</v>
      </c>
      <c r="F46" s="65" t="s">
        <v>1672</v>
      </c>
    </row>
    <row r="47" customFormat="false" ht="169.5" hidden="false" customHeight="true" outlineLevel="0" collapsed="false">
      <c r="A47" s="4" t="s">
        <v>55</v>
      </c>
      <c r="B47" s="60" t="s">
        <v>1673</v>
      </c>
      <c r="C47" s="60" t="s">
        <v>1674</v>
      </c>
      <c r="D47" s="60" t="s">
        <v>1675</v>
      </c>
      <c r="E47" s="60" t="s">
        <v>1676</v>
      </c>
      <c r="F47" s="65" t="s">
        <v>1677</v>
      </c>
    </row>
    <row r="48" customFormat="false" ht="169.5" hidden="false" customHeight="true" outlineLevel="0" collapsed="false">
      <c r="A48" s="4" t="s">
        <v>56</v>
      </c>
      <c r="B48" s="56" t="s">
        <v>1678</v>
      </c>
      <c r="C48" s="56" t="s">
        <v>1679</v>
      </c>
      <c r="D48" s="56" t="s">
        <v>1680</v>
      </c>
      <c r="E48" s="56" t="s">
        <v>1681</v>
      </c>
      <c r="F48" s="65" t="s">
        <v>1682</v>
      </c>
    </row>
    <row r="49" customFormat="false" ht="169.5" hidden="false" customHeight="true" outlineLevel="0" collapsed="false">
      <c r="A49" s="4" t="s">
        <v>57</v>
      </c>
      <c r="B49" s="60" t="s">
        <v>1683</v>
      </c>
      <c r="C49" s="60" t="s">
        <v>1684</v>
      </c>
      <c r="D49" s="60" t="s">
        <v>1685</v>
      </c>
      <c r="E49" s="60" t="s">
        <v>1686</v>
      </c>
      <c r="F49" s="65" t="s">
        <v>1687</v>
      </c>
    </row>
    <row r="50" customFormat="false" ht="169.5" hidden="false" customHeight="true" outlineLevel="0" collapsed="false">
      <c r="A50" s="4" t="s">
        <v>58</v>
      </c>
      <c r="B50" s="56" t="s">
        <v>1688</v>
      </c>
      <c r="C50" s="56" t="s">
        <v>1689</v>
      </c>
      <c r="D50" s="56" t="s">
        <v>1690</v>
      </c>
      <c r="E50" s="56" t="s">
        <v>1691</v>
      </c>
      <c r="F50" s="65" t="s">
        <v>1692</v>
      </c>
    </row>
    <row r="51" customFormat="false" ht="169.5" hidden="false" customHeight="true" outlineLevel="0" collapsed="false">
      <c r="A51" s="4" t="s">
        <v>59</v>
      </c>
      <c r="B51" s="60" t="s">
        <v>1693</v>
      </c>
      <c r="C51" s="60" t="s">
        <v>1694</v>
      </c>
      <c r="D51" s="60" t="s">
        <v>1695</v>
      </c>
      <c r="E51" s="60" t="s">
        <v>1696</v>
      </c>
      <c r="F51" s="65" t="s">
        <v>1697</v>
      </c>
    </row>
    <row r="52" customFormat="false" ht="169.5" hidden="false" customHeight="true" outlineLevel="0" collapsed="false">
      <c r="A52" s="4" t="s">
        <v>60</v>
      </c>
      <c r="B52" s="56" t="s">
        <v>1698</v>
      </c>
      <c r="C52" s="56" t="s">
        <v>1699</v>
      </c>
      <c r="D52" s="56" t="s">
        <v>1695</v>
      </c>
      <c r="E52" s="56" t="s">
        <v>1700</v>
      </c>
      <c r="F52" s="65" t="s">
        <v>1701</v>
      </c>
    </row>
    <row r="53" customFormat="false" ht="169.5" hidden="false" customHeight="true" outlineLevel="0" collapsed="false">
      <c r="A53" s="4" t="s">
        <v>61</v>
      </c>
      <c r="B53" s="60" t="s">
        <v>1702</v>
      </c>
      <c r="C53" s="60" t="s">
        <v>1703</v>
      </c>
      <c r="D53" s="60" t="s">
        <v>1695</v>
      </c>
      <c r="E53" s="60" t="s">
        <v>1704</v>
      </c>
      <c r="F53" s="65" t="s">
        <v>1705</v>
      </c>
    </row>
    <row r="54" customFormat="false" ht="169.5" hidden="false" customHeight="true" outlineLevel="0" collapsed="false">
      <c r="A54" s="4" t="s">
        <v>62</v>
      </c>
      <c r="B54" s="56" t="s">
        <v>1706</v>
      </c>
      <c r="C54" s="56" t="s">
        <v>1707</v>
      </c>
      <c r="D54" s="56" t="s">
        <v>1690</v>
      </c>
      <c r="E54" s="56" t="s">
        <v>1708</v>
      </c>
      <c r="F54" s="65" t="s">
        <v>1709</v>
      </c>
    </row>
    <row r="56" customFormat="false" ht="15" hidden="false" customHeight="false" outlineLevel="0" collapsed="false">
      <c r="A56" s="7" t="s">
        <v>1710</v>
      </c>
    </row>
    <row r="57" customFormat="false" ht="31.5" hidden="false" customHeight="true" outlineLevel="0" collapsed="false">
      <c r="A57" s="14" t="s">
        <v>1711</v>
      </c>
      <c r="B57" s="14"/>
      <c r="C57" s="14"/>
      <c r="D57" s="14"/>
      <c r="E57" s="14"/>
      <c r="F57" s="14"/>
    </row>
    <row r="58" customFormat="false" ht="31.5" hidden="false" customHeight="true" outlineLevel="0" collapsed="false">
      <c r="A58" s="14" t="s">
        <v>1712</v>
      </c>
      <c r="B58" s="14"/>
      <c r="C58" s="14"/>
      <c r="D58" s="14"/>
      <c r="E58" s="14"/>
      <c r="F58" s="14"/>
    </row>
    <row r="59" customFormat="false" ht="31.5" hidden="false" customHeight="true" outlineLevel="0" collapsed="false">
      <c r="A59" s="14" t="s">
        <v>1713</v>
      </c>
      <c r="B59" s="14"/>
      <c r="C59" s="14"/>
      <c r="D59" s="14"/>
      <c r="E59" s="14"/>
      <c r="F59" s="14"/>
    </row>
    <row r="60" customFormat="false" ht="31.5" hidden="false" customHeight="true" outlineLevel="0" collapsed="false">
      <c r="A60" s="14" t="s">
        <v>1714</v>
      </c>
      <c r="B60" s="14"/>
      <c r="C60" s="14"/>
      <c r="D60" s="14"/>
      <c r="E60" s="14"/>
      <c r="F60" s="14"/>
    </row>
    <row r="61" customFormat="false" ht="31.5" hidden="false" customHeight="true" outlineLevel="0" collapsed="false">
      <c r="A61" s="14" t="s">
        <v>1715</v>
      </c>
      <c r="B61" s="14"/>
      <c r="C61" s="14"/>
      <c r="D61" s="14"/>
      <c r="E61" s="14"/>
      <c r="F61" s="14"/>
    </row>
    <row r="62" customFormat="false" ht="31.5" hidden="false" customHeight="true" outlineLevel="0" collapsed="false">
      <c r="A62" s="14" t="s">
        <v>1716</v>
      </c>
      <c r="B62" s="14"/>
      <c r="C62" s="14"/>
      <c r="D62" s="14"/>
      <c r="E62" s="14"/>
      <c r="F62" s="14"/>
    </row>
    <row r="63" customFormat="false" ht="31.5" hidden="false" customHeight="true" outlineLevel="0" collapsed="false">
      <c r="A63" s="14" t="s">
        <v>1717</v>
      </c>
      <c r="B63" s="14"/>
      <c r="C63" s="14"/>
      <c r="D63" s="14"/>
      <c r="E63" s="14"/>
      <c r="F63" s="14"/>
    </row>
    <row r="64" customFormat="false" ht="31.5" hidden="false" customHeight="true" outlineLevel="0" collapsed="false">
      <c r="A64" s="14" t="s">
        <v>1718</v>
      </c>
      <c r="B64" s="14"/>
      <c r="C64" s="14"/>
      <c r="D64" s="14"/>
      <c r="E64" s="14"/>
      <c r="F64" s="14"/>
    </row>
    <row r="65" customFormat="false" ht="31.5" hidden="false" customHeight="true" outlineLevel="0" collapsed="false">
      <c r="A65" s="14" t="s">
        <v>1719</v>
      </c>
      <c r="B65" s="14"/>
      <c r="C65" s="14"/>
      <c r="D65" s="14"/>
      <c r="E65" s="14"/>
      <c r="F65" s="14"/>
    </row>
    <row r="66" customFormat="false" ht="31.5" hidden="false" customHeight="true" outlineLevel="0" collapsed="false">
      <c r="A66" s="14" t="s">
        <v>1720</v>
      </c>
      <c r="B66" s="14"/>
      <c r="C66" s="14"/>
      <c r="D66" s="14"/>
      <c r="E66" s="14"/>
      <c r="F66" s="14"/>
    </row>
  </sheetData>
  <mergeCells count="12">
    <mergeCell ref="A24:K24"/>
    <mergeCell ref="A42:C42"/>
    <mergeCell ref="A57:F57"/>
    <mergeCell ref="A58:F58"/>
    <mergeCell ref="A59:F59"/>
    <mergeCell ref="A60:F60"/>
    <mergeCell ref="A61:F61"/>
    <mergeCell ref="A62:F62"/>
    <mergeCell ref="A63:F63"/>
    <mergeCell ref="A64:F64"/>
    <mergeCell ref="A65:F65"/>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56"/>
    <col collapsed="false" customWidth="true" hidden="false" outlineLevel="0" max="4" min="4" style="0" width="44"/>
    <col collapsed="false" customWidth="true" hidden="false" outlineLevel="0" max="5" min="5" style="0" width="60"/>
    <col collapsed="false" customWidth="true" hidden="false" outlineLevel="0" max="6" min="6" style="0" width="44"/>
  </cols>
  <sheetData>
    <row r="1" customFormat="false" ht="17.35" hidden="false" customHeight="false" outlineLevel="0" collapsed="false">
      <c r="A1" s="54" t="s">
        <v>1721</v>
      </c>
    </row>
    <row r="2" customFormat="false" ht="55.5" hidden="false" customHeight="true" outlineLevel="0" collapsed="false">
      <c r="A2" s="63" t="s">
        <v>1722</v>
      </c>
      <c r="B2" s="63"/>
      <c r="C2" s="63"/>
      <c r="D2" s="63"/>
      <c r="E2" s="63"/>
      <c r="F2" s="63"/>
    </row>
    <row r="4" customFormat="false" ht="45.75" hidden="false" customHeight="true" outlineLevel="0" collapsed="false">
      <c r="A4" s="3" t="s">
        <v>1618</v>
      </c>
      <c r="B4" s="3" t="s">
        <v>1723</v>
      </c>
      <c r="C4" s="3" t="s">
        <v>1724</v>
      </c>
      <c r="D4" s="3" t="s">
        <v>1725</v>
      </c>
      <c r="E4" s="3" t="s">
        <v>1726</v>
      </c>
      <c r="F4" s="3" t="s">
        <v>1727</v>
      </c>
    </row>
    <row r="5" customFormat="false" ht="85.5" hidden="false" customHeight="true" outlineLevel="0" collapsed="false">
      <c r="A5" s="66" t="s">
        <v>54</v>
      </c>
      <c r="B5" s="67" t="s">
        <v>31</v>
      </c>
      <c r="C5" s="68" t="s">
        <v>1728</v>
      </c>
      <c r="D5" s="68" t="s">
        <v>1729</v>
      </c>
      <c r="E5" s="69" t="s">
        <v>1730</v>
      </c>
      <c r="F5" s="69" t="s">
        <v>1731</v>
      </c>
    </row>
    <row r="6" customFormat="false" ht="85.5" hidden="false" customHeight="true" outlineLevel="0" collapsed="false">
      <c r="A6" s="66"/>
      <c r="B6" s="70" t="s">
        <v>33</v>
      </c>
      <c r="C6" s="11" t="s">
        <v>1732</v>
      </c>
      <c r="D6" s="11" t="s">
        <v>1733</v>
      </c>
      <c r="E6" s="69"/>
      <c r="F6" s="69"/>
    </row>
    <row r="7" customFormat="false" ht="85.5" hidden="false" customHeight="true" outlineLevel="0" collapsed="false">
      <c r="A7" s="66"/>
      <c r="B7" s="71" t="s">
        <v>35</v>
      </c>
      <c r="C7" s="13" t="s">
        <v>1734</v>
      </c>
      <c r="D7" s="13" t="s">
        <v>1735</v>
      </c>
      <c r="E7" s="69"/>
      <c r="F7" s="69"/>
    </row>
    <row r="8" customFormat="false" ht="85.5" hidden="false" customHeight="true" outlineLevel="0" collapsed="false">
      <c r="A8" s="72" t="s">
        <v>55</v>
      </c>
      <c r="B8" s="67" t="s">
        <v>31</v>
      </c>
      <c r="C8" s="68" t="s">
        <v>1736</v>
      </c>
      <c r="D8" s="68" t="s">
        <v>1737</v>
      </c>
      <c r="E8" s="73" t="s">
        <v>1738</v>
      </c>
      <c r="F8" s="73" t="s">
        <v>1739</v>
      </c>
    </row>
    <row r="9" customFormat="false" ht="85.5" hidden="false" customHeight="true" outlineLevel="0" collapsed="false">
      <c r="A9" s="72"/>
      <c r="B9" s="70" t="s">
        <v>33</v>
      </c>
      <c r="C9" s="11" t="s">
        <v>1740</v>
      </c>
      <c r="D9" s="11" t="s">
        <v>1741</v>
      </c>
      <c r="E9" s="73"/>
      <c r="F9" s="73"/>
    </row>
    <row r="10" customFormat="false" ht="85.5" hidden="false" customHeight="true" outlineLevel="0" collapsed="false">
      <c r="A10" s="72"/>
      <c r="B10" s="71" t="s">
        <v>35</v>
      </c>
      <c r="C10" s="13" t="s">
        <v>1742</v>
      </c>
      <c r="D10" s="13" t="s">
        <v>1743</v>
      </c>
      <c r="E10" s="73"/>
      <c r="F10" s="73"/>
    </row>
    <row r="11" customFormat="false" ht="85.5" hidden="false" customHeight="true" outlineLevel="0" collapsed="false">
      <c r="A11" s="66" t="s">
        <v>56</v>
      </c>
      <c r="B11" s="67" t="s">
        <v>31</v>
      </c>
      <c r="C11" s="68" t="s">
        <v>1744</v>
      </c>
      <c r="D11" s="68" t="s">
        <v>1745</v>
      </c>
      <c r="E11" s="69" t="s">
        <v>1746</v>
      </c>
      <c r="F11" s="69" t="s">
        <v>1747</v>
      </c>
    </row>
    <row r="12" customFormat="false" ht="85.5" hidden="false" customHeight="true" outlineLevel="0" collapsed="false">
      <c r="A12" s="66"/>
      <c r="B12" s="70" t="s">
        <v>33</v>
      </c>
      <c r="C12" s="11" t="s">
        <v>1748</v>
      </c>
      <c r="D12" s="11" t="s">
        <v>1749</v>
      </c>
      <c r="E12" s="69"/>
      <c r="F12" s="69"/>
    </row>
    <row r="13" customFormat="false" ht="85.5" hidden="false" customHeight="true" outlineLevel="0" collapsed="false">
      <c r="A13" s="66"/>
      <c r="B13" s="71" t="s">
        <v>35</v>
      </c>
      <c r="C13" s="13" t="s">
        <v>1750</v>
      </c>
      <c r="D13" s="13" t="s">
        <v>1751</v>
      </c>
      <c r="E13" s="69"/>
      <c r="F13" s="69"/>
    </row>
    <row r="14" customFormat="false" ht="85.5" hidden="false" customHeight="true" outlineLevel="0" collapsed="false">
      <c r="A14" s="72" t="s">
        <v>165</v>
      </c>
      <c r="B14" s="67" t="s">
        <v>31</v>
      </c>
      <c r="C14" s="68" t="s">
        <v>1752</v>
      </c>
      <c r="D14" s="68" t="s">
        <v>1753</v>
      </c>
      <c r="E14" s="73" t="s">
        <v>1754</v>
      </c>
      <c r="F14" s="73" t="s">
        <v>1755</v>
      </c>
    </row>
    <row r="15" customFormat="false" ht="85.5" hidden="false" customHeight="true" outlineLevel="0" collapsed="false">
      <c r="A15" s="72"/>
      <c r="B15" s="70" t="s">
        <v>33</v>
      </c>
      <c r="C15" s="11" t="s">
        <v>1756</v>
      </c>
      <c r="D15" s="11" t="s">
        <v>1757</v>
      </c>
      <c r="E15" s="73"/>
      <c r="F15" s="73"/>
    </row>
    <row r="16" customFormat="false" ht="85.5" hidden="false" customHeight="true" outlineLevel="0" collapsed="false">
      <c r="A16" s="72"/>
      <c r="B16" s="71" t="s">
        <v>35</v>
      </c>
      <c r="C16" s="13" t="s">
        <v>1758</v>
      </c>
      <c r="D16" s="13" t="s">
        <v>1759</v>
      </c>
      <c r="E16" s="73"/>
      <c r="F16" s="73"/>
    </row>
    <row r="17" customFormat="false" ht="85.5" hidden="false" customHeight="true" outlineLevel="0" collapsed="false">
      <c r="A17" s="66" t="s">
        <v>1760</v>
      </c>
      <c r="B17" s="67" t="s">
        <v>31</v>
      </c>
      <c r="C17" s="68" t="s">
        <v>1761</v>
      </c>
      <c r="D17" s="68" t="s">
        <v>1762</v>
      </c>
      <c r="E17" s="69" t="s">
        <v>1763</v>
      </c>
      <c r="F17" s="69" t="s">
        <v>1764</v>
      </c>
    </row>
    <row r="18" customFormat="false" ht="85.5" hidden="false" customHeight="true" outlineLevel="0" collapsed="false">
      <c r="A18" s="66"/>
      <c r="B18" s="70" t="s">
        <v>33</v>
      </c>
      <c r="C18" s="11" t="s">
        <v>1765</v>
      </c>
      <c r="D18" s="11" t="s">
        <v>1766</v>
      </c>
      <c r="E18" s="69"/>
      <c r="F18" s="69"/>
    </row>
    <row r="19" customFormat="false" ht="85.5" hidden="false" customHeight="true" outlineLevel="0" collapsed="false">
      <c r="A19" s="66"/>
      <c r="B19" s="71" t="s">
        <v>35</v>
      </c>
      <c r="C19" s="13" t="s">
        <v>1767</v>
      </c>
      <c r="D19" s="13" t="s">
        <v>1768</v>
      </c>
      <c r="E19" s="69"/>
      <c r="F19" s="69"/>
    </row>
    <row r="20" customFormat="false" ht="85.5" hidden="false" customHeight="true" outlineLevel="0" collapsed="false">
      <c r="A20" s="72" t="s">
        <v>58</v>
      </c>
      <c r="B20" s="67" t="s">
        <v>31</v>
      </c>
      <c r="C20" s="68" t="s">
        <v>1769</v>
      </c>
      <c r="D20" s="68" t="s">
        <v>1770</v>
      </c>
      <c r="E20" s="73" t="s">
        <v>1771</v>
      </c>
      <c r="F20" s="73" t="s">
        <v>1772</v>
      </c>
    </row>
    <row r="21" customFormat="false" ht="85.5" hidden="false" customHeight="true" outlineLevel="0" collapsed="false">
      <c r="A21" s="72"/>
      <c r="B21" s="70" t="s">
        <v>33</v>
      </c>
      <c r="C21" s="11" t="s">
        <v>1773</v>
      </c>
      <c r="D21" s="11" t="s">
        <v>1774</v>
      </c>
      <c r="E21" s="73"/>
      <c r="F21" s="73"/>
    </row>
    <row r="22" customFormat="false" ht="85.5" hidden="false" customHeight="true" outlineLevel="0" collapsed="false">
      <c r="A22" s="72"/>
      <c r="B22" s="71" t="s">
        <v>35</v>
      </c>
      <c r="C22" s="13" t="s">
        <v>1775</v>
      </c>
      <c r="D22" s="13" t="s">
        <v>1776</v>
      </c>
      <c r="E22" s="73"/>
      <c r="F22" s="73"/>
    </row>
    <row r="23" customFormat="false" ht="85.5" hidden="false" customHeight="true" outlineLevel="0" collapsed="false">
      <c r="A23" s="66" t="s">
        <v>59</v>
      </c>
      <c r="B23" s="67" t="s">
        <v>31</v>
      </c>
      <c r="C23" s="68" t="s">
        <v>1777</v>
      </c>
      <c r="D23" s="68" t="s">
        <v>1778</v>
      </c>
      <c r="E23" s="69" t="s">
        <v>1779</v>
      </c>
      <c r="F23" s="69" t="s">
        <v>1780</v>
      </c>
    </row>
    <row r="24" customFormat="false" ht="85.5" hidden="false" customHeight="true" outlineLevel="0" collapsed="false">
      <c r="A24" s="66"/>
      <c r="B24" s="70" t="s">
        <v>33</v>
      </c>
      <c r="C24" s="11" t="s">
        <v>1781</v>
      </c>
      <c r="D24" s="11" t="s">
        <v>1782</v>
      </c>
      <c r="E24" s="69"/>
      <c r="F24" s="69"/>
    </row>
    <row r="25" customFormat="false" ht="85.5" hidden="false" customHeight="true" outlineLevel="0" collapsed="false">
      <c r="A25" s="66"/>
      <c r="B25" s="71" t="s">
        <v>35</v>
      </c>
      <c r="C25" s="13" t="s">
        <v>1783</v>
      </c>
      <c r="D25" s="13" t="s">
        <v>1784</v>
      </c>
      <c r="E25" s="69"/>
      <c r="F25" s="69"/>
    </row>
    <row r="26" customFormat="false" ht="85.5" hidden="false" customHeight="true" outlineLevel="0" collapsed="false">
      <c r="A26" s="72" t="s">
        <v>60</v>
      </c>
      <c r="B26" s="67" t="s">
        <v>31</v>
      </c>
      <c r="C26" s="68" t="s">
        <v>1785</v>
      </c>
      <c r="D26" s="68" t="s">
        <v>1786</v>
      </c>
      <c r="E26" s="73" t="s">
        <v>1787</v>
      </c>
      <c r="F26" s="73" t="s">
        <v>1788</v>
      </c>
    </row>
    <row r="27" customFormat="false" ht="85.5" hidden="false" customHeight="true" outlineLevel="0" collapsed="false">
      <c r="A27" s="72"/>
      <c r="B27" s="70" t="s">
        <v>33</v>
      </c>
      <c r="C27" s="11" t="s">
        <v>1789</v>
      </c>
      <c r="D27" s="11" t="s">
        <v>1790</v>
      </c>
      <c r="E27" s="73"/>
      <c r="F27" s="73"/>
    </row>
    <row r="28" customFormat="false" ht="85.5" hidden="false" customHeight="true" outlineLevel="0" collapsed="false">
      <c r="A28" s="72"/>
      <c r="B28" s="71" t="s">
        <v>35</v>
      </c>
      <c r="C28" s="13" t="s">
        <v>1791</v>
      </c>
      <c r="D28" s="13" t="s">
        <v>1792</v>
      </c>
      <c r="E28" s="73"/>
      <c r="F28" s="73"/>
    </row>
    <row r="29" customFormat="false" ht="85.5" hidden="false" customHeight="true" outlineLevel="0" collapsed="false">
      <c r="A29" s="66" t="s">
        <v>61</v>
      </c>
      <c r="B29" s="67" t="s">
        <v>31</v>
      </c>
      <c r="C29" s="68" t="s">
        <v>1793</v>
      </c>
      <c r="D29" s="68" t="s">
        <v>1794</v>
      </c>
      <c r="E29" s="69" t="s">
        <v>1795</v>
      </c>
      <c r="F29" s="69" t="s">
        <v>1796</v>
      </c>
    </row>
    <row r="30" customFormat="false" ht="85.5" hidden="false" customHeight="true" outlineLevel="0" collapsed="false">
      <c r="A30" s="66"/>
      <c r="B30" s="70" t="s">
        <v>33</v>
      </c>
      <c r="C30" s="11" t="s">
        <v>1797</v>
      </c>
      <c r="D30" s="11" t="s">
        <v>1798</v>
      </c>
      <c r="E30" s="69"/>
      <c r="F30" s="69"/>
    </row>
    <row r="31" customFormat="false" ht="85.5" hidden="false" customHeight="true" outlineLevel="0" collapsed="false">
      <c r="A31" s="66"/>
      <c r="B31" s="71" t="s">
        <v>35</v>
      </c>
      <c r="C31" s="13" t="s">
        <v>1799</v>
      </c>
      <c r="D31" s="13" t="s">
        <v>1800</v>
      </c>
      <c r="E31" s="69"/>
      <c r="F31" s="69"/>
    </row>
    <row r="32" customFormat="false" ht="85.5" hidden="false" customHeight="true" outlineLevel="0" collapsed="false">
      <c r="A32" s="72" t="s">
        <v>1801</v>
      </c>
      <c r="B32" s="67" t="s">
        <v>31</v>
      </c>
      <c r="C32" s="68" t="s">
        <v>1802</v>
      </c>
      <c r="D32" s="68" t="s">
        <v>1803</v>
      </c>
      <c r="E32" s="73" t="s">
        <v>1804</v>
      </c>
      <c r="F32" s="73" t="s">
        <v>1805</v>
      </c>
    </row>
    <row r="33" customFormat="false" ht="85.5" hidden="false" customHeight="true" outlineLevel="0" collapsed="false">
      <c r="A33" s="72"/>
      <c r="B33" s="70" t="s">
        <v>33</v>
      </c>
      <c r="C33" s="11" t="s">
        <v>1806</v>
      </c>
      <c r="D33" s="11" t="s">
        <v>1807</v>
      </c>
      <c r="E33" s="73"/>
      <c r="F33" s="73"/>
    </row>
    <row r="34" customFormat="false" ht="85.5" hidden="false" customHeight="true" outlineLevel="0" collapsed="false">
      <c r="A34" s="72"/>
      <c r="B34" s="71" t="s">
        <v>35</v>
      </c>
      <c r="C34" s="13" t="s">
        <v>1808</v>
      </c>
      <c r="D34" s="13" t="s">
        <v>1809</v>
      </c>
      <c r="E34" s="73"/>
      <c r="F34" s="73"/>
    </row>
    <row r="36" customFormat="false" ht="15" hidden="false" customHeight="false" outlineLevel="0" collapsed="false">
      <c r="A36" s="7" t="s">
        <v>1810</v>
      </c>
    </row>
    <row r="37" customFormat="false" ht="15" hidden="false" customHeight="false" outlineLevel="0" collapsed="false">
      <c r="A37" s="3" t="s">
        <v>1811</v>
      </c>
      <c r="B37" s="74" t="s">
        <v>31</v>
      </c>
      <c r="C37" s="75" t="s">
        <v>33</v>
      </c>
      <c r="D37" s="76" t="s">
        <v>35</v>
      </c>
    </row>
    <row r="38" customFormat="false" ht="61.5" hidden="false" customHeight="true" outlineLevel="0" collapsed="false">
      <c r="A38" s="17" t="s">
        <v>1812</v>
      </c>
      <c r="B38" s="9" t="s">
        <v>1813</v>
      </c>
      <c r="C38" s="11" t="s">
        <v>1814</v>
      </c>
      <c r="D38" s="13" t="s">
        <v>1814</v>
      </c>
    </row>
    <row r="39" customFormat="false" ht="61.5" hidden="false" customHeight="true" outlineLevel="0" collapsed="false">
      <c r="A39" s="77" t="s">
        <v>165</v>
      </c>
      <c r="B39" s="9" t="s">
        <v>1815</v>
      </c>
      <c r="C39" s="11" t="s">
        <v>1816</v>
      </c>
      <c r="D39" s="13" t="s">
        <v>1817</v>
      </c>
    </row>
    <row r="40" customFormat="false" ht="61.5" hidden="false" customHeight="true" outlineLevel="0" collapsed="false">
      <c r="A40" s="17" t="s">
        <v>1818</v>
      </c>
      <c r="B40" s="9" t="s">
        <v>1819</v>
      </c>
      <c r="C40" s="11" t="s">
        <v>1820</v>
      </c>
      <c r="D40" s="13" t="s">
        <v>1821</v>
      </c>
    </row>
    <row r="41" customFormat="false" ht="61.5" hidden="false" customHeight="true" outlineLevel="0" collapsed="false">
      <c r="A41" s="77" t="s">
        <v>1141</v>
      </c>
      <c r="B41" s="9" t="s">
        <v>1822</v>
      </c>
      <c r="C41" s="11" t="s">
        <v>1823</v>
      </c>
      <c r="D41" s="13" t="s">
        <v>1824</v>
      </c>
    </row>
    <row r="42" customFormat="false" ht="61.5" hidden="false" customHeight="true" outlineLevel="0" collapsed="false">
      <c r="A42" s="17" t="s">
        <v>54</v>
      </c>
      <c r="B42" s="9" t="s">
        <v>1825</v>
      </c>
      <c r="C42" s="11" t="s">
        <v>1826</v>
      </c>
      <c r="D42" s="13" t="s">
        <v>1827</v>
      </c>
    </row>
    <row r="43" customFormat="false" ht="61.5" hidden="false" customHeight="true" outlineLevel="0" collapsed="false">
      <c r="A43" s="77" t="s">
        <v>1828</v>
      </c>
      <c r="B43" s="9" t="s">
        <v>1829</v>
      </c>
      <c r="C43" s="11" t="s">
        <v>1830</v>
      </c>
      <c r="D43" s="13" t="s">
        <v>1831</v>
      </c>
    </row>
    <row r="44" customFormat="false" ht="61.5" hidden="false" customHeight="true" outlineLevel="0" collapsed="false">
      <c r="A44" s="17" t="s">
        <v>1832</v>
      </c>
      <c r="B44" s="9" t="s">
        <v>1833</v>
      </c>
      <c r="C44" s="11" t="s">
        <v>1834</v>
      </c>
      <c r="D44" s="13" t="s">
        <v>1835</v>
      </c>
    </row>
    <row r="45" customFormat="false" ht="61.5" hidden="false" customHeight="true" outlineLevel="0" collapsed="false">
      <c r="A45" s="77" t="s">
        <v>1836</v>
      </c>
      <c r="B45" s="9" t="s">
        <v>1837</v>
      </c>
      <c r="C45" s="11" t="s">
        <v>1838</v>
      </c>
      <c r="D45" s="13" t="s">
        <v>1839</v>
      </c>
    </row>
    <row r="46" customFormat="false" ht="61.5" hidden="false" customHeight="true" outlineLevel="0" collapsed="false">
      <c r="A46" s="17" t="s">
        <v>1840</v>
      </c>
      <c r="B46" s="9" t="s">
        <v>1841</v>
      </c>
      <c r="C46" s="11" t="s">
        <v>1842</v>
      </c>
      <c r="D46" s="13" t="s">
        <v>1843</v>
      </c>
    </row>
  </sheetData>
  <autoFilter ref="A4:F34"/>
  <mergeCells count="31">
    <mergeCell ref="A2:F2"/>
    <mergeCell ref="A5:A7"/>
    <mergeCell ref="E5:E7"/>
    <mergeCell ref="F5:F7"/>
    <mergeCell ref="A8:A10"/>
    <mergeCell ref="E8:E10"/>
    <mergeCell ref="F8:F10"/>
    <mergeCell ref="A11:A13"/>
    <mergeCell ref="E11:E13"/>
    <mergeCell ref="F11:F13"/>
    <mergeCell ref="A14:A16"/>
    <mergeCell ref="E14:E16"/>
    <mergeCell ref="F14:F16"/>
    <mergeCell ref="A17:A19"/>
    <mergeCell ref="E17:E19"/>
    <mergeCell ref="F17:F19"/>
    <mergeCell ref="A20:A22"/>
    <mergeCell ref="E20:E22"/>
    <mergeCell ref="F20:F22"/>
    <mergeCell ref="A23:A25"/>
    <mergeCell ref="E23:E25"/>
    <mergeCell ref="F23:F25"/>
    <mergeCell ref="A26:A28"/>
    <mergeCell ref="E26:E28"/>
    <mergeCell ref="F26:F28"/>
    <mergeCell ref="A29:A31"/>
    <mergeCell ref="E29:E31"/>
    <mergeCell ref="F29:F31"/>
    <mergeCell ref="A32:A34"/>
    <mergeCell ref="E32:E34"/>
    <mergeCell ref="F32:F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4" min="3" style="0" width="32"/>
    <col collapsed="false" customWidth="true" hidden="false" outlineLevel="0" max="5" min="5" style="0" width="34"/>
    <col collapsed="false" customWidth="true" hidden="false" outlineLevel="0" max="6" min="6" style="0" width="26"/>
    <col collapsed="false" customWidth="true" hidden="false" outlineLevel="0" max="7" min="7" style="0" width="46"/>
    <col collapsed="false" customWidth="true" hidden="false" outlineLevel="0" max="8" min="8" style="0" width="28"/>
  </cols>
  <sheetData>
    <row r="1" customFormat="false" ht="17.35" hidden="false" customHeight="false" outlineLevel="0" collapsed="false">
      <c r="A1" s="54" t="s">
        <v>1844</v>
      </c>
    </row>
    <row r="2" customFormat="false" ht="43.5" hidden="false" customHeight="true" outlineLevel="0" collapsed="false">
      <c r="A2" s="63" t="s">
        <v>1845</v>
      </c>
      <c r="B2" s="63"/>
      <c r="C2" s="63"/>
      <c r="D2" s="63"/>
      <c r="E2" s="63"/>
      <c r="F2" s="63"/>
      <c r="G2" s="63"/>
      <c r="H2" s="63"/>
    </row>
    <row r="4" customFormat="false" ht="43.5" hidden="false" customHeight="true" outlineLevel="0" collapsed="false">
      <c r="A4" s="3" t="s">
        <v>1618</v>
      </c>
      <c r="B4" s="3" t="s">
        <v>1846</v>
      </c>
      <c r="C4" s="74" t="s">
        <v>1847</v>
      </c>
      <c r="D4" s="75" t="s">
        <v>1848</v>
      </c>
      <c r="E4" s="76" t="s">
        <v>1849</v>
      </c>
      <c r="F4" s="3" t="s">
        <v>1850</v>
      </c>
      <c r="G4" s="3" t="s">
        <v>1851</v>
      </c>
      <c r="H4" s="3" t="s">
        <v>1852</v>
      </c>
    </row>
    <row r="5" customFormat="false" ht="54" hidden="false" customHeight="true" outlineLevel="0" collapsed="false">
      <c r="A5" s="78" t="s">
        <v>1853</v>
      </c>
      <c r="B5" s="79" t="s">
        <v>1854</v>
      </c>
      <c r="C5" s="80" t="s">
        <v>93</v>
      </c>
      <c r="D5" s="80" t="s">
        <v>93</v>
      </c>
      <c r="E5" s="80" t="s">
        <v>93</v>
      </c>
      <c r="F5" s="69" t="s">
        <v>1855</v>
      </c>
      <c r="G5" s="69" t="s">
        <v>1856</v>
      </c>
      <c r="H5" s="69" t="s">
        <v>1857</v>
      </c>
    </row>
    <row r="6" customFormat="false" ht="54" hidden="false" customHeight="true" outlineLevel="0" collapsed="false">
      <c r="A6" s="78"/>
      <c r="B6" s="17" t="s">
        <v>1858</v>
      </c>
      <c r="C6" s="19" t="s">
        <v>1859</v>
      </c>
      <c r="D6" s="19" t="s">
        <v>1859</v>
      </c>
      <c r="E6" s="19" t="s">
        <v>1860</v>
      </c>
      <c r="F6" s="56" t="s">
        <v>1855</v>
      </c>
      <c r="G6" s="56" t="s">
        <v>1861</v>
      </c>
      <c r="H6" s="56" t="s">
        <v>1862</v>
      </c>
    </row>
    <row r="7" customFormat="false" ht="54" hidden="false" customHeight="true" outlineLevel="0" collapsed="false">
      <c r="A7" s="78"/>
      <c r="B7" s="17" t="s">
        <v>1863</v>
      </c>
      <c r="C7" s="81" t="s">
        <v>1864</v>
      </c>
      <c r="D7" s="19" t="s">
        <v>1865</v>
      </c>
      <c r="E7" s="19" t="s">
        <v>1866</v>
      </c>
      <c r="F7" s="56" t="s">
        <v>1855</v>
      </c>
      <c r="G7" s="56" t="s">
        <v>1867</v>
      </c>
      <c r="H7" s="56" t="s">
        <v>1868</v>
      </c>
    </row>
    <row r="8" customFormat="false" ht="54" hidden="false" customHeight="true" outlineLevel="0" collapsed="false">
      <c r="A8" s="78"/>
      <c r="B8" s="17" t="s">
        <v>1869</v>
      </c>
      <c r="C8" s="81" t="s">
        <v>1870</v>
      </c>
      <c r="D8" s="26" t="s">
        <v>1871</v>
      </c>
      <c r="E8" s="26" t="s">
        <v>1872</v>
      </c>
      <c r="F8" s="56" t="s">
        <v>1855</v>
      </c>
      <c r="G8" s="56" t="s">
        <v>1873</v>
      </c>
      <c r="H8" s="56" t="s">
        <v>1874</v>
      </c>
    </row>
    <row r="9" customFormat="false" ht="54" hidden="false" customHeight="true" outlineLevel="0" collapsed="false">
      <c r="A9" s="78"/>
      <c r="B9" s="17" t="s">
        <v>1875</v>
      </c>
      <c r="C9" s="81" t="s">
        <v>1870</v>
      </c>
      <c r="D9" s="26" t="s">
        <v>1876</v>
      </c>
      <c r="E9" s="19" t="s">
        <v>1877</v>
      </c>
      <c r="F9" s="56" t="s">
        <v>1878</v>
      </c>
      <c r="G9" s="56" t="s">
        <v>1879</v>
      </c>
      <c r="H9" s="56" t="s">
        <v>1880</v>
      </c>
    </row>
    <row r="10" customFormat="false" ht="54" hidden="false" customHeight="true" outlineLevel="0" collapsed="false">
      <c r="A10" s="78"/>
      <c r="B10" s="17" t="s">
        <v>1881</v>
      </c>
      <c r="C10" s="81" t="s">
        <v>1870</v>
      </c>
      <c r="D10" s="81" t="s">
        <v>1870</v>
      </c>
      <c r="E10" s="19" t="s">
        <v>93</v>
      </c>
      <c r="F10" s="56" t="s">
        <v>1855</v>
      </c>
      <c r="G10" s="56" t="s">
        <v>1882</v>
      </c>
      <c r="H10" s="56" t="s">
        <v>1883</v>
      </c>
    </row>
    <row r="11" customFormat="false" ht="54" hidden="false" customHeight="true" outlineLevel="0" collapsed="false">
      <c r="A11" s="78"/>
      <c r="B11" s="17" t="s">
        <v>1884</v>
      </c>
      <c r="C11" s="5" t="s">
        <v>1885</v>
      </c>
      <c r="D11" s="5" t="s">
        <v>1886</v>
      </c>
      <c r="E11" s="5" t="s">
        <v>1887</v>
      </c>
      <c r="F11" s="56" t="s">
        <v>1855</v>
      </c>
      <c r="G11" s="56" t="s">
        <v>1888</v>
      </c>
      <c r="H11" s="56" t="s">
        <v>1889</v>
      </c>
    </row>
    <row r="12" customFormat="false" ht="54" hidden="false" customHeight="true" outlineLevel="0" collapsed="false">
      <c r="A12" s="78"/>
      <c r="B12" s="17" t="s">
        <v>1890</v>
      </c>
      <c r="C12" s="81" t="s">
        <v>1870</v>
      </c>
      <c r="D12" s="26" t="s">
        <v>1891</v>
      </c>
      <c r="E12" s="26" t="s">
        <v>1892</v>
      </c>
      <c r="F12" s="56" t="s">
        <v>1878</v>
      </c>
      <c r="G12" s="56" t="s">
        <v>1893</v>
      </c>
      <c r="H12" s="56" t="s">
        <v>1894</v>
      </c>
    </row>
    <row r="13" customFormat="false" ht="54" hidden="false" customHeight="true" outlineLevel="0" collapsed="false">
      <c r="A13" s="78"/>
      <c r="B13" s="17" t="s">
        <v>1895</v>
      </c>
      <c r="C13" s="5" t="s">
        <v>1896</v>
      </c>
      <c r="D13" s="5" t="s">
        <v>1897</v>
      </c>
      <c r="E13" s="5" t="s">
        <v>1898</v>
      </c>
      <c r="F13" s="56" t="s">
        <v>1855</v>
      </c>
      <c r="G13" s="56" t="s">
        <v>1899</v>
      </c>
      <c r="H13" s="56" t="s">
        <v>1900</v>
      </c>
    </row>
    <row r="14" customFormat="false" ht="54" hidden="false" customHeight="true" outlineLevel="0" collapsed="false">
      <c r="A14" s="78"/>
      <c r="B14" s="17" t="s">
        <v>1901</v>
      </c>
      <c r="C14" s="5" t="s">
        <v>1902</v>
      </c>
      <c r="D14" s="5" t="s">
        <v>1903</v>
      </c>
      <c r="E14" s="5" t="s">
        <v>1904</v>
      </c>
      <c r="F14" s="56" t="s">
        <v>1855</v>
      </c>
      <c r="G14" s="56" t="s">
        <v>1905</v>
      </c>
      <c r="H14" s="56" t="s">
        <v>1906</v>
      </c>
    </row>
    <row r="15" customFormat="false" ht="54" hidden="false" customHeight="true" outlineLevel="0" collapsed="false">
      <c r="A15" s="82" t="s">
        <v>55</v>
      </c>
      <c r="B15" s="83" t="s">
        <v>1907</v>
      </c>
      <c r="C15" s="80" t="s">
        <v>93</v>
      </c>
      <c r="D15" s="80" t="s">
        <v>93</v>
      </c>
      <c r="E15" s="80" t="s">
        <v>93</v>
      </c>
      <c r="F15" s="73" t="s">
        <v>1908</v>
      </c>
      <c r="G15" s="73" t="s">
        <v>1909</v>
      </c>
      <c r="H15" s="73" t="s">
        <v>1910</v>
      </c>
    </row>
    <row r="16" customFormat="false" ht="54" hidden="false" customHeight="true" outlineLevel="0" collapsed="false">
      <c r="A16" s="82"/>
      <c r="B16" s="77" t="s">
        <v>1911</v>
      </c>
      <c r="C16" s="19" t="s">
        <v>93</v>
      </c>
      <c r="D16" s="19" t="s">
        <v>93</v>
      </c>
      <c r="E16" s="19" t="s">
        <v>93</v>
      </c>
      <c r="F16" s="60" t="s">
        <v>1912</v>
      </c>
      <c r="G16" s="60" t="s">
        <v>1913</v>
      </c>
      <c r="H16" s="60" t="s">
        <v>1914</v>
      </c>
    </row>
    <row r="17" customFormat="false" ht="54" hidden="false" customHeight="true" outlineLevel="0" collapsed="false">
      <c r="A17" s="82"/>
      <c r="B17" s="77" t="s">
        <v>1915</v>
      </c>
      <c r="C17" s="81" t="s">
        <v>1870</v>
      </c>
      <c r="D17" s="19" t="s">
        <v>93</v>
      </c>
      <c r="E17" s="19" t="s">
        <v>93</v>
      </c>
      <c r="F17" s="60" t="s">
        <v>1878</v>
      </c>
      <c r="G17" s="60" t="s">
        <v>1916</v>
      </c>
      <c r="H17" s="60" t="s">
        <v>1917</v>
      </c>
    </row>
    <row r="18" customFormat="false" ht="54" hidden="false" customHeight="true" outlineLevel="0" collapsed="false">
      <c r="A18" s="82"/>
      <c r="B18" s="77" t="s">
        <v>1918</v>
      </c>
      <c r="C18" s="26" t="s">
        <v>1919</v>
      </c>
      <c r="D18" s="26" t="s">
        <v>1919</v>
      </c>
      <c r="E18" s="19" t="s">
        <v>1920</v>
      </c>
      <c r="F18" s="60" t="s">
        <v>1921</v>
      </c>
      <c r="G18" s="60" t="s">
        <v>1922</v>
      </c>
      <c r="H18" s="60" t="s">
        <v>1923</v>
      </c>
    </row>
    <row r="19" customFormat="false" ht="54" hidden="false" customHeight="true" outlineLevel="0" collapsed="false">
      <c r="A19" s="82"/>
      <c r="B19" s="77" t="s">
        <v>1924</v>
      </c>
      <c r="C19" s="26" t="s">
        <v>1925</v>
      </c>
      <c r="D19" s="26" t="s">
        <v>1925</v>
      </c>
      <c r="E19" s="19" t="s">
        <v>1926</v>
      </c>
      <c r="F19" s="60" t="s">
        <v>1927</v>
      </c>
      <c r="G19" s="60" t="s">
        <v>1928</v>
      </c>
      <c r="H19" s="60" t="s">
        <v>1855</v>
      </c>
    </row>
    <row r="20" customFormat="false" ht="54" hidden="false" customHeight="true" outlineLevel="0" collapsed="false">
      <c r="A20" s="82"/>
      <c r="B20" s="77" t="s">
        <v>1929</v>
      </c>
      <c r="C20" s="81" t="s">
        <v>1870</v>
      </c>
      <c r="D20" s="26" t="s">
        <v>1925</v>
      </c>
      <c r="E20" s="26" t="s">
        <v>1930</v>
      </c>
      <c r="F20" s="60" t="s">
        <v>1931</v>
      </c>
      <c r="G20" s="60" t="s">
        <v>1928</v>
      </c>
      <c r="H20" s="60" t="s">
        <v>1932</v>
      </c>
    </row>
    <row r="21" customFormat="false" ht="54" hidden="false" customHeight="true" outlineLevel="0" collapsed="false">
      <c r="A21" s="82"/>
      <c r="B21" s="77" t="s">
        <v>1933</v>
      </c>
      <c r="C21" s="81" t="s">
        <v>1870</v>
      </c>
      <c r="D21" s="81" t="s">
        <v>1870</v>
      </c>
      <c r="E21" s="19" t="s">
        <v>93</v>
      </c>
      <c r="F21" s="60" t="s">
        <v>1878</v>
      </c>
      <c r="G21" s="60" t="s">
        <v>1934</v>
      </c>
      <c r="H21" s="60" t="s">
        <v>1855</v>
      </c>
    </row>
    <row r="22" customFormat="false" ht="54" hidden="false" customHeight="true" outlineLevel="0" collapsed="false">
      <c r="A22" s="78" t="s">
        <v>56</v>
      </c>
      <c r="B22" s="79" t="s">
        <v>1935</v>
      </c>
      <c r="C22" s="80" t="s">
        <v>1936</v>
      </c>
      <c r="D22" s="80" t="s">
        <v>1936</v>
      </c>
      <c r="E22" s="80" t="s">
        <v>1936</v>
      </c>
      <c r="F22" s="69" t="s">
        <v>1937</v>
      </c>
      <c r="G22" s="69" t="s">
        <v>1938</v>
      </c>
      <c r="H22" s="69" t="s">
        <v>1939</v>
      </c>
    </row>
    <row r="23" customFormat="false" ht="54" hidden="false" customHeight="true" outlineLevel="0" collapsed="false">
      <c r="A23" s="78"/>
      <c r="B23" s="17" t="s">
        <v>394</v>
      </c>
      <c r="C23" s="5" t="s">
        <v>1940</v>
      </c>
      <c r="D23" s="19" t="s">
        <v>1941</v>
      </c>
      <c r="E23" s="19" t="s">
        <v>1942</v>
      </c>
      <c r="F23" s="56" t="s">
        <v>1943</v>
      </c>
      <c r="G23" s="56" t="s">
        <v>1944</v>
      </c>
      <c r="H23" s="56" t="s">
        <v>1945</v>
      </c>
    </row>
    <row r="24" customFormat="false" ht="54" hidden="false" customHeight="true" outlineLevel="0" collapsed="false">
      <c r="A24" s="78"/>
      <c r="B24" s="17" t="s">
        <v>1946</v>
      </c>
      <c r="C24" s="81" t="s">
        <v>1870</v>
      </c>
      <c r="D24" s="19" t="s">
        <v>1947</v>
      </c>
      <c r="E24" s="19" t="s">
        <v>1948</v>
      </c>
      <c r="F24" s="56" t="s">
        <v>1949</v>
      </c>
      <c r="G24" s="56" t="s">
        <v>1950</v>
      </c>
      <c r="H24" s="56" t="s">
        <v>1951</v>
      </c>
    </row>
    <row r="25" customFormat="false" ht="54" hidden="false" customHeight="true" outlineLevel="0" collapsed="false">
      <c r="A25" s="78"/>
      <c r="B25" s="17" t="s">
        <v>1952</v>
      </c>
      <c r="C25" s="81" t="s">
        <v>1870</v>
      </c>
      <c r="D25" s="26" t="s">
        <v>1953</v>
      </c>
      <c r="E25" s="19" t="s">
        <v>1954</v>
      </c>
      <c r="F25" s="56" t="s">
        <v>1955</v>
      </c>
      <c r="G25" s="56" t="s">
        <v>1956</v>
      </c>
      <c r="H25" s="56" t="s">
        <v>1957</v>
      </c>
    </row>
    <row r="26" customFormat="false" ht="54" hidden="false" customHeight="true" outlineLevel="0" collapsed="false">
      <c r="A26" s="78"/>
      <c r="B26" s="17" t="s">
        <v>1958</v>
      </c>
      <c r="C26" s="81" t="s">
        <v>1870</v>
      </c>
      <c r="D26" s="26" t="s">
        <v>1959</v>
      </c>
      <c r="E26" s="26" t="s">
        <v>1959</v>
      </c>
      <c r="F26" s="56" t="s">
        <v>1943</v>
      </c>
      <c r="G26" s="56" t="s">
        <v>1960</v>
      </c>
      <c r="H26" s="56" t="s">
        <v>1961</v>
      </c>
    </row>
    <row r="27" customFormat="false" ht="54" hidden="false" customHeight="true" outlineLevel="0" collapsed="false">
      <c r="A27" s="78"/>
      <c r="B27" s="17" t="s">
        <v>1962</v>
      </c>
      <c r="C27" s="26" t="s">
        <v>1925</v>
      </c>
      <c r="D27" s="26" t="s">
        <v>1925</v>
      </c>
      <c r="E27" s="19" t="s">
        <v>1963</v>
      </c>
      <c r="F27" s="56" t="s">
        <v>1921</v>
      </c>
      <c r="G27" s="56" t="s">
        <v>1964</v>
      </c>
      <c r="H27" s="56" t="s">
        <v>1855</v>
      </c>
    </row>
    <row r="28" customFormat="false" ht="54" hidden="false" customHeight="true" outlineLevel="0" collapsed="false">
      <c r="A28" s="78"/>
      <c r="B28" s="17" t="s">
        <v>1965</v>
      </c>
      <c r="C28" s="81" t="s">
        <v>1870</v>
      </c>
      <c r="D28" s="26" t="s">
        <v>1966</v>
      </c>
      <c r="E28" s="19" t="s">
        <v>93</v>
      </c>
      <c r="F28" s="56" t="s">
        <v>1967</v>
      </c>
      <c r="G28" s="56" t="s">
        <v>1968</v>
      </c>
      <c r="H28" s="56" t="s">
        <v>1969</v>
      </c>
    </row>
    <row r="29" customFormat="false" ht="54" hidden="false" customHeight="true" outlineLevel="0" collapsed="false">
      <c r="A29" s="78"/>
      <c r="B29" s="17" t="s">
        <v>1970</v>
      </c>
      <c r="C29" s="81" t="s">
        <v>1870</v>
      </c>
      <c r="D29" s="26" t="s">
        <v>1925</v>
      </c>
      <c r="E29" s="26" t="s">
        <v>1971</v>
      </c>
      <c r="F29" s="56" t="s">
        <v>1921</v>
      </c>
      <c r="G29" s="56" t="s">
        <v>1972</v>
      </c>
      <c r="H29" s="56" t="s">
        <v>1855</v>
      </c>
    </row>
    <row r="30" customFormat="false" ht="54" hidden="false" customHeight="true" outlineLevel="0" collapsed="false">
      <c r="A30" s="82" t="s">
        <v>165</v>
      </c>
      <c r="B30" s="83" t="s">
        <v>1973</v>
      </c>
      <c r="C30" s="84" t="s">
        <v>1974</v>
      </c>
      <c r="D30" s="80" t="s">
        <v>1975</v>
      </c>
      <c r="E30" s="80" t="s">
        <v>1976</v>
      </c>
      <c r="F30" s="73" t="s">
        <v>1977</v>
      </c>
      <c r="G30" s="73" t="s">
        <v>1978</v>
      </c>
      <c r="H30" s="73" t="s">
        <v>1979</v>
      </c>
    </row>
    <row r="31" customFormat="false" ht="54" hidden="false" customHeight="true" outlineLevel="0" collapsed="false">
      <c r="A31" s="82"/>
      <c r="B31" s="77" t="s">
        <v>1980</v>
      </c>
      <c r="C31" s="81" t="s">
        <v>1870</v>
      </c>
      <c r="D31" s="26" t="s">
        <v>1959</v>
      </c>
      <c r="E31" s="19" t="s">
        <v>93</v>
      </c>
      <c r="F31" s="60" t="s">
        <v>1981</v>
      </c>
      <c r="G31" s="60" t="s">
        <v>1982</v>
      </c>
      <c r="H31" s="60" t="s">
        <v>1855</v>
      </c>
    </row>
    <row r="32" customFormat="false" ht="54" hidden="false" customHeight="true" outlineLevel="0" collapsed="false">
      <c r="A32" s="82"/>
      <c r="B32" s="77" t="s">
        <v>1983</v>
      </c>
      <c r="C32" s="81" t="s">
        <v>1870</v>
      </c>
      <c r="D32" s="26" t="s">
        <v>1925</v>
      </c>
      <c r="E32" s="19" t="s">
        <v>1976</v>
      </c>
      <c r="F32" s="60" t="s">
        <v>1984</v>
      </c>
      <c r="G32" s="60" t="s">
        <v>1985</v>
      </c>
      <c r="H32" s="60" t="s">
        <v>1986</v>
      </c>
    </row>
    <row r="33" customFormat="false" ht="54" hidden="false" customHeight="true" outlineLevel="0" collapsed="false">
      <c r="A33" s="82"/>
      <c r="B33" s="77" t="s">
        <v>1987</v>
      </c>
      <c r="C33" s="26" t="s">
        <v>1925</v>
      </c>
      <c r="D33" s="26" t="s">
        <v>1925</v>
      </c>
      <c r="E33" s="19" t="s">
        <v>1988</v>
      </c>
      <c r="F33" s="60" t="s">
        <v>1967</v>
      </c>
      <c r="G33" s="60" t="s">
        <v>1989</v>
      </c>
      <c r="H33" s="60" t="s">
        <v>1855</v>
      </c>
    </row>
    <row r="34" customFormat="false" ht="54" hidden="false" customHeight="true" outlineLevel="0" collapsed="false">
      <c r="A34" s="82"/>
      <c r="B34" s="77" t="s">
        <v>1990</v>
      </c>
      <c r="C34" s="81" t="s">
        <v>1870</v>
      </c>
      <c r="D34" s="26" t="s">
        <v>1925</v>
      </c>
      <c r="E34" s="26" t="s">
        <v>1925</v>
      </c>
      <c r="F34" s="60" t="s">
        <v>1921</v>
      </c>
      <c r="G34" s="60" t="s">
        <v>1991</v>
      </c>
      <c r="H34" s="60" t="s">
        <v>1855</v>
      </c>
    </row>
    <row r="35" customFormat="false" ht="54" hidden="false" customHeight="true" outlineLevel="0" collapsed="false">
      <c r="A35" s="82"/>
      <c r="B35" s="77" t="s">
        <v>1992</v>
      </c>
      <c r="C35" s="19" t="s">
        <v>1993</v>
      </c>
      <c r="D35" s="19" t="s">
        <v>1993</v>
      </c>
      <c r="E35" s="19" t="s">
        <v>1993</v>
      </c>
      <c r="F35" s="60" t="s">
        <v>1878</v>
      </c>
      <c r="G35" s="60" t="s">
        <v>1994</v>
      </c>
      <c r="H35" s="60" t="s">
        <v>1995</v>
      </c>
    </row>
    <row r="36" customFormat="false" ht="54" hidden="false" customHeight="true" outlineLevel="0" collapsed="false">
      <c r="A36" s="78" t="s">
        <v>1760</v>
      </c>
      <c r="B36" s="79" t="s">
        <v>1996</v>
      </c>
      <c r="C36" s="80" t="s">
        <v>1997</v>
      </c>
      <c r="D36" s="80" t="s">
        <v>1997</v>
      </c>
      <c r="E36" s="80" t="s">
        <v>1997</v>
      </c>
      <c r="F36" s="69" t="s">
        <v>1998</v>
      </c>
      <c r="G36" s="69" t="s">
        <v>1999</v>
      </c>
      <c r="H36" s="69" t="s">
        <v>2000</v>
      </c>
    </row>
    <row r="37" customFormat="false" ht="54" hidden="false" customHeight="true" outlineLevel="0" collapsed="false">
      <c r="A37" s="78"/>
      <c r="B37" s="17" t="s">
        <v>2001</v>
      </c>
      <c r="C37" s="81" t="s">
        <v>1870</v>
      </c>
      <c r="D37" s="26" t="s">
        <v>2002</v>
      </c>
      <c r="E37" s="26" t="s">
        <v>2003</v>
      </c>
      <c r="F37" s="56" t="s">
        <v>2004</v>
      </c>
      <c r="G37" s="56" t="s">
        <v>2005</v>
      </c>
      <c r="H37" s="56" t="s">
        <v>1855</v>
      </c>
    </row>
    <row r="38" customFormat="false" ht="54" hidden="false" customHeight="true" outlineLevel="0" collapsed="false">
      <c r="A38" s="78"/>
      <c r="B38" s="17" t="s">
        <v>2006</v>
      </c>
      <c r="C38" s="81" t="s">
        <v>1870</v>
      </c>
      <c r="D38" s="26" t="s">
        <v>1925</v>
      </c>
      <c r="E38" s="19" t="s">
        <v>1976</v>
      </c>
      <c r="F38" s="56" t="s">
        <v>1984</v>
      </c>
      <c r="G38" s="56" t="s">
        <v>2007</v>
      </c>
      <c r="H38" s="56" t="s">
        <v>1855</v>
      </c>
    </row>
    <row r="39" customFormat="false" ht="54" hidden="false" customHeight="true" outlineLevel="0" collapsed="false">
      <c r="A39" s="82" t="s">
        <v>58</v>
      </c>
      <c r="B39" s="83" t="s">
        <v>2008</v>
      </c>
      <c r="C39" s="80" t="s">
        <v>93</v>
      </c>
      <c r="D39" s="80" t="s">
        <v>93</v>
      </c>
      <c r="E39" s="80" t="s">
        <v>93</v>
      </c>
      <c r="F39" s="73" t="s">
        <v>2009</v>
      </c>
      <c r="G39" s="73" t="s">
        <v>2010</v>
      </c>
      <c r="H39" s="73" t="s">
        <v>1855</v>
      </c>
    </row>
    <row r="40" customFormat="false" ht="54" hidden="false" customHeight="true" outlineLevel="0" collapsed="false">
      <c r="A40" s="82"/>
      <c r="B40" s="77" t="s">
        <v>2011</v>
      </c>
      <c r="C40" s="81" t="s">
        <v>1870</v>
      </c>
      <c r="D40" s="19" t="s">
        <v>93</v>
      </c>
      <c r="E40" s="19" t="s">
        <v>93</v>
      </c>
      <c r="F40" s="60" t="s">
        <v>2012</v>
      </c>
      <c r="G40" s="60" t="s">
        <v>2013</v>
      </c>
      <c r="H40" s="60" t="s">
        <v>2014</v>
      </c>
    </row>
    <row r="41" customFormat="false" ht="54" hidden="false" customHeight="true" outlineLevel="0" collapsed="false">
      <c r="A41" s="82"/>
      <c r="B41" s="77" t="s">
        <v>2015</v>
      </c>
      <c r="C41" s="81" t="s">
        <v>1870</v>
      </c>
      <c r="D41" s="19" t="s">
        <v>2016</v>
      </c>
      <c r="E41" s="19" t="s">
        <v>2016</v>
      </c>
      <c r="F41" s="60" t="s">
        <v>1967</v>
      </c>
      <c r="G41" s="60" t="s">
        <v>2017</v>
      </c>
      <c r="H41" s="60" t="s">
        <v>2018</v>
      </c>
    </row>
    <row r="42" customFormat="false" ht="54" hidden="false" customHeight="true" outlineLevel="0" collapsed="false">
      <c r="A42" s="82"/>
      <c r="B42" s="77" t="s">
        <v>2019</v>
      </c>
      <c r="C42" s="5" t="s">
        <v>2020</v>
      </c>
      <c r="D42" s="5" t="s">
        <v>2021</v>
      </c>
      <c r="E42" s="5" t="s">
        <v>2022</v>
      </c>
      <c r="F42" s="60" t="s">
        <v>2023</v>
      </c>
      <c r="G42" s="60" t="s">
        <v>2024</v>
      </c>
      <c r="H42" s="60" t="s">
        <v>2025</v>
      </c>
    </row>
    <row r="43" customFormat="false" ht="54" hidden="false" customHeight="true" outlineLevel="0" collapsed="false">
      <c r="A43" s="82"/>
      <c r="B43" s="77" t="s">
        <v>2026</v>
      </c>
      <c r="C43" s="81" t="s">
        <v>1870</v>
      </c>
      <c r="D43" s="81" t="s">
        <v>1870</v>
      </c>
      <c r="E43" s="19" t="s">
        <v>93</v>
      </c>
      <c r="F43" s="60" t="s">
        <v>2027</v>
      </c>
      <c r="G43" s="60" t="s">
        <v>2028</v>
      </c>
      <c r="H43" s="60" t="s">
        <v>2029</v>
      </c>
    </row>
    <row r="44" customFormat="false" ht="54" hidden="false" customHeight="true" outlineLevel="0" collapsed="false">
      <c r="A44" s="82"/>
      <c r="B44" s="77" t="s">
        <v>2030</v>
      </c>
      <c r="C44" s="81" t="s">
        <v>1870</v>
      </c>
      <c r="D44" s="26" t="s">
        <v>1925</v>
      </c>
      <c r="E44" s="26" t="s">
        <v>1925</v>
      </c>
      <c r="F44" s="60" t="s">
        <v>1921</v>
      </c>
      <c r="G44" s="60" t="s">
        <v>1928</v>
      </c>
      <c r="H44" s="60" t="s">
        <v>2031</v>
      </c>
    </row>
    <row r="45" customFormat="false" ht="54" hidden="false" customHeight="true" outlineLevel="0" collapsed="false">
      <c r="A45" s="82"/>
      <c r="B45" s="77" t="s">
        <v>2032</v>
      </c>
      <c r="C45" s="81" t="s">
        <v>1870</v>
      </c>
      <c r="D45" s="26" t="s">
        <v>1925</v>
      </c>
      <c r="E45" s="26" t="s">
        <v>1925</v>
      </c>
      <c r="F45" s="60" t="s">
        <v>1967</v>
      </c>
      <c r="G45" s="60" t="s">
        <v>1928</v>
      </c>
      <c r="H45" s="60" t="s">
        <v>1855</v>
      </c>
    </row>
    <row r="46" customFormat="false" ht="54" hidden="false" customHeight="true" outlineLevel="0" collapsed="false">
      <c r="A46" s="78" t="s">
        <v>59</v>
      </c>
      <c r="B46" s="79" t="s">
        <v>2033</v>
      </c>
      <c r="C46" s="80" t="s">
        <v>93</v>
      </c>
      <c r="D46" s="80" t="s">
        <v>93</v>
      </c>
      <c r="E46" s="80" t="s">
        <v>93</v>
      </c>
      <c r="F46" s="69" t="s">
        <v>2034</v>
      </c>
      <c r="G46" s="69" t="s">
        <v>2035</v>
      </c>
      <c r="H46" s="69" t="s">
        <v>2036</v>
      </c>
    </row>
    <row r="47" customFormat="false" ht="54" hidden="false" customHeight="true" outlineLevel="0" collapsed="false">
      <c r="A47" s="78"/>
      <c r="B47" s="17" t="s">
        <v>2037</v>
      </c>
      <c r="C47" s="81" t="s">
        <v>1870</v>
      </c>
      <c r="D47" s="19" t="s">
        <v>93</v>
      </c>
      <c r="E47" s="19" t="s">
        <v>93</v>
      </c>
      <c r="F47" s="56" t="s">
        <v>2038</v>
      </c>
      <c r="G47" s="56" t="s">
        <v>2039</v>
      </c>
      <c r="H47" s="56" t="s">
        <v>1855</v>
      </c>
    </row>
    <row r="48" customFormat="false" ht="54" hidden="false" customHeight="true" outlineLevel="0" collapsed="false">
      <c r="A48" s="78"/>
      <c r="B48" s="17" t="s">
        <v>2040</v>
      </c>
      <c r="C48" s="5" t="s">
        <v>2041</v>
      </c>
      <c r="D48" s="19" t="s">
        <v>2042</v>
      </c>
      <c r="E48" s="19" t="s">
        <v>2043</v>
      </c>
      <c r="F48" s="56" t="s">
        <v>2044</v>
      </c>
      <c r="G48" s="56" t="s">
        <v>2045</v>
      </c>
      <c r="H48" s="56" t="s">
        <v>2046</v>
      </c>
    </row>
    <row r="49" customFormat="false" ht="54" hidden="false" customHeight="true" outlineLevel="0" collapsed="false">
      <c r="A49" s="78"/>
      <c r="B49" s="17" t="s">
        <v>2047</v>
      </c>
      <c r="C49" s="81" t="s">
        <v>1870</v>
      </c>
      <c r="D49" s="81" t="s">
        <v>1870</v>
      </c>
      <c r="E49" s="19" t="s">
        <v>93</v>
      </c>
      <c r="F49" s="56" t="s">
        <v>2048</v>
      </c>
      <c r="G49" s="56" t="s">
        <v>2049</v>
      </c>
      <c r="H49" s="56" t="s">
        <v>2050</v>
      </c>
    </row>
    <row r="50" customFormat="false" ht="54" hidden="false" customHeight="true" outlineLevel="0" collapsed="false">
      <c r="A50" s="78"/>
      <c r="B50" s="17" t="s">
        <v>2051</v>
      </c>
      <c r="C50" s="81" t="s">
        <v>1870</v>
      </c>
      <c r="D50" s="26" t="s">
        <v>1925</v>
      </c>
      <c r="E50" s="19" t="s">
        <v>93</v>
      </c>
      <c r="F50" s="56" t="s">
        <v>1921</v>
      </c>
      <c r="G50" s="56" t="s">
        <v>2052</v>
      </c>
      <c r="H50" s="56" t="s">
        <v>2053</v>
      </c>
    </row>
    <row r="51" customFormat="false" ht="54" hidden="false" customHeight="true" outlineLevel="0" collapsed="false">
      <c r="A51" s="78"/>
      <c r="B51" s="17" t="s">
        <v>2054</v>
      </c>
      <c r="C51" s="81" t="s">
        <v>1870</v>
      </c>
      <c r="D51" s="26" t="s">
        <v>1925</v>
      </c>
      <c r="E51" s="19" t="s">
        <v>93</v>
      </c>
      <c r="F51" s="56" t="s">
        <v>1921</v>
      </c>
      <c r="G51" s="56" t="s">
        <v>2055</v>
      </c>
      <c r="H51" s="56" t="s">
        <v>1855</v>
      </c>
    </row>
    <row r="52" customFormat="false" ht="54" hidden="false" customHeight="true" outlineLevel="0" collapsed="false">
      <c r="A52" s="78"/>
      <c r="B52" s="17" t="s">
        <v>2056</v>
      </c>
      <c r="C52" s="26" t="s">
        <v>1925</v>
      </c>
      <c r="D52" s="26" t="s">
        <v>1925</v>
      </c>
      <c r="E52" s="26" t="s">
        <v>1925</v>
      </c>
      <c r="F52" s="56" t="s">
        <v>1878</v>
      </c>
      <c r="G52" s="56" t="s">
        <v>1928</v>
      </c>
      <c r="H52" s="56" t="s">
        <v>1855</v>
      </c>
    </row>
    <row r="53" customFormat="false" ht="54" hidden="false" customHeight="true" outlineLevel="0" collapsed="false">
      <c r="A53" s="82" t="s">
        <v>60</v>
      </c>
      <c r="B53" s="83" t="s">
        <v>2057</v>
      </c>
      <c r="C53" s="80" t="s">
        <v>93</v>
      </c>
      <c r="D53" s="80" t="s">
        <v>93</v>
      </c>
      <c r="E53" s="80" t="s">
        <v>93</v>
      </c>
      <c r="F53" s="73" t="s">
        <v>2058</v>
      </c>
      <c r="G53" s="73" t="s">
        <v>2059</v>
      </c>
      <c r="H53" s="73" t="s">
        <v>2060</v>
      </c>
    </row>
    <row r="54" customFormat="false" ht="54" hidden="false" customHeight="true" outlineLevel="0" collapsed="false">
      <c r="A54" s="82"/>
      <c r="B54" s="77" t="s">
        <v>2061</v>
      </c>
      <c r="C54" s="19" t="s">
        <v>93</v>
      </c>
      <c r="D54" s="19" t="s">
        <v>93</v>
      </c>
      <c r="E54" s="19" t="s">
        <v>93</v>
      </c>
      <c r="F54" s="60" t="s">
        <v>1931</v>
      </c>
      <c r="G54" s="60" t="s">
        <v>2062</v>
      </c>
      <c r="H54" s="60" t="s">
        <v>1855</v>
      </c>
    </row>
    <row r="55" customFormat="false" ht="54" hidden="false" customHeight="true" outlineLevel="0" collapsed="false">
      <c r="A55" s="82"/>
      <c r="B55" s="77" t="s">
        <v>2063</v>
      </c>
      <c r="C55" s="5" t="s">
        <v>2064</v>
      </c>
      <c r="D55" s="5" t="s">
        <v>2065</v>
      </c>
      <c r="E55" s="5" t="s">
        <v>2066</v>
      </c>
      <c r="F55" s="60" t="s">
        <v>2067</v>
      </c>
      <c r="G55" s="60" t="s">
        <v>2068</v>
      </c>
      <c r="H55" s="60" t="s">
        <v>1855</v>
      </c>
    </row>
    <row r="56" customFormat="false" ht="54" hidden="false" customHeight="true" outlineLevel="0" collapsed="false">
      <c r="A56" s="82"/>
      <c r="B56" s="77" t="s">
        <v>2069</v>
      </c>
      <c r="C56" s="81" t="s">
        <v>1870</v>
      </c>
      <c r="D56" s="19" t="s">
        <v>93</v>
      </c>
      <c r="E56" s="19" t="s">
        <v>93</v>
      </c>
      <c r="F56" s="60" t="s">
        <v>2070</v>
      </c>
      <c r="G56" s="60" t="s">
        <v>2071</v>
      </c>
      <c r="H56" s="60" t="s">
        <v>1855</v>
      </c>
    </row>
    <row r="57" customFormat="false" ht="54" hidden="false" customHeight="true" outlineLevel="0" collapsed="false">
      <c r="A57" s="82"/>
      <c r="B57" s="77" t="s">
        <v>2072</v>
      </c>
      <c r="C57" s="26" t="s">
        <v>1925</v>
      </c>
      <c r="D57" s="26" t="s">
        <v>1925</v>
      </c>
      <c r="E57" s="19" t="s">
        <v>2073</v>
      </c>
      <c r="F57" s="60" t="s">
        <v>1921</v>
      </c>
      <c r="G57" s="60" t="s">
        <v>2074</v>
      </c>
      <c r="H57" s="60" t="s">
        <v>1855</v>
      </c>
    </row>
    <row r="58" customFormat="false" ht="54" hidden="false" customHeight="true" outlineLevel="0" collapsed="false">
      <c r="A58" s="82"/>
      <c r="B58" s="77" t="s">
        <v>2075</v>
      </c>
      <c r="C58" s="81" t="s">
        <v>1870</v>
      </c>
      <c r="D58" s="26" t="s">
        <v>1925</v>
      </c>
      <c r="E58" s="19" t="s">
        <v>93</v>
      </c>
      <c r="F58" s="60" t="s">
        <v>1921</v>
      </c>
      <c r="G58" s="60" t="s">
        <v>2076</v>
      </c>
      <c r="H58" s="60" t="s">
        <v>1855</v>
      </c>
    </row>
    <row r="59" customFormat="false" ht="54" hidden="false" customHeight="true" outlineLevel="0" collapsed="false">
      <c r="A59" s="82"/>
      <c r="B59" s="77" t="s">
        <v>2077</v>
      </c>
      <c r="C59" s="5" t="s">
        <v>2078</v>
      </c>
      <c r="D59" s="5" t="s">
        <v>2078</v>
      </c>
      <c r="E59" s="5" t="s">
        <v>2079</v>
      </c>
      <c r="F59" s="60" t="s">
        <v>1921</v>
      </c>
      <c r="G59" s="60" t="s">
        <v>2080</v>
      </c>
      <c r="H59" s="60" t="s">
        <v>2081</v>
      </c>
    </row>
    <row r="60" customFormat="false" ht="54" hidden="false" customHeight="true" outlineLevel="0" collapsed="false">
      <c r="A60" s="78" t="s">
        <v>61</v>
      </c>
      <c r="B60" s="79" t="s">
        <v>2082</v>
      </c>
      <c r="C60" s="80" t="s">
        <v>93</v>
      </c>
      <c r="D60" s="80" t="s">
        <v>93</v>
      </c>
      <c r="E60" s="80" t="s">
        <v>93</v>
      </c>
      <c r="F60" s="69" t="s">
        <v>2083</v>
      </c>
      <c r="G60" s="69" t="s">
        <v>2084</v>
      </c>
      <c r="H60" s="69" t="s">
        <v>2085</v>
      </c>
    </row>
    <row r="61" customFormat="false" ht="54" hidden="false" customHeight="true" outlineLevel="0" collapsed="false">
      <c r="A61" s="78"/>
      <c r="B61" s="17" t="s">
        <v>2086</v>
      </c>
      <c r="C61" s="5" t="s">
        <v>2087</v>
      </c>
      <c r="D61" s="19" t="s">
        <v>93</v>
      </c>
      <c r="E61" s="19" t="s">
        <v>93</v>
      </c>
      <c r="F61" s="56" t="s">
        <v>2088</v>
      </c>
      <c r="G61" s="56" t="s">
        <v>2089</v>
      </c>
      <c r="H61" s="56" t="s">
        <v>1855</v>
      </c>
    </row>
    <row r="62" customFormat="false" ht="54" hidden="false" customHeight="true" outlineLevel="0" collapsed="false">
      <c r="A62" s="78"/>
      <c r="B62" s="17" t="s">
        <v>2090</v>
      </c>
      <c r="C62" s="5" t="s">
        <v>2087</v>
      </c>
      <c r="D62" s="19" t="s">
        <v>93</v>
      </c>
      <c r="E62" s="19" t="s">
        <v>93</v>
      </c>
      <c r="F62" s="56" t="s">
        <v>2091</v>
      </c>
      <c r="G62" s="56" t="s">
        <v>2092</v>
      </c>
      <c r="H62" s="56" t="s">
        <v>1855</v>
      </c>
    </row>
    <row r="63" customFormat="false" ht="54" hidden="false" customHeight="true" outlineLevel="0" collapsed="false">
      <c r="A63" s="78"/>
      <c r="B63" s="17" t="s">
        <v>2093</v>
      </c>
      <c r="C63" s="81" t="s">
        <v>1870</v>
      </c>
      <c r="D63" s="26" t="s">
        <v>1925</v>
      </c>
      <c r="E63" s="19" t="s">
        <v>93</v>
      </c>
      <c r="F63" s="56" t="s">
        <v>2094</v>
      </c>
      <c r="G63" s="56" t="s">
        <v>2095</v>
      </c>
      <c r="H63" s="56" t="s">
        <v>1855</v>
      </c>
    </row>
    <row r="64" customFormat="false" ht="54" hidden="false" customHeight="true" outlineLevel="0" collapsed="false">
      <c r="A64" s="78"/>
      <c r="B64" s="17" t="s">
        <v>2096</v>
      </c>
      <c r="C64" s="81" t="s">
        <v>1870</v>
      </c>
      <c r="D64" s="26" t="s">
        <v>1925</v>
      </c>
      <c r="E64" s="19" t="s">
        <v>93</v>
      </c>
      <c r="F64" s="56" t="s">
        <v>2067</v>
      </c>
      <c r="G64" s="56" t="s">
        <v>2097</v>
      </c>
      <c r="H64" s="56" t="s">
        <v>1855</v>
      </c>
    </row>
    <row r="65" customFormat="false" ht="54" hidden="false" customHeight="true" outlineLevel="0" collapsed="false">
      <c r="A65" s="78"/>
      <c r="B65" s="17" t="s">
        <v>2098</v>
      </c>
      <c r="C65" s="5" t="s">
        <v>2099</v>
      </c>
      <c r="D65" s="5" t="s">
        <v>2099</v>
      </c>
      <c r="E65" s="19" t="s">
        <v>2100</v>
      </c>
      <c r="F65" s="56" t="s">
        <v>2101</v>
      </c>
      <c r="G65" s="56" t="s">
        <v>2102</v>
      </c>
      <c r="H65" s="56" t="s">
        <v>2103</v>
      </c>
    </row>
    <row r="66" customFormat="false" ht="54" hidden="false" customHeight="true" outlineLevel="0" collapsed="false">
      <c r="A66" s="82" t="s">
        <v>1801</v>
      </c>
      <c r="B66" s="83" t="s">
        <v>2104</v>
      </c>
      <c r="C66" s="80" t="s">
        <v>93</v>
      </c>
      <c r="D66" s="80" t="s">
        <v>93</v>
      </c>
      <c r="E66" s="80" t="s">
        <v>93</v>
      </c>
      <c r="F66" s="73" t="s">
        <v>1878</v>
      </c>
      <c r="G66" s="73" t="s">
        <v>2105</v>
      </c>
      <c r="H66" s="73" t="s">
        <v>1855</v>
      </c>
    </row>
    <row r="67" customFormat="false" ht="54" hidden="false" customHeight="true" outlineLevel="0" collapsed="false">
      <c r="A67" s="82"/>
      <c r="B67" s="77" t="s">
        <v>2106</v>
      </c>
      <c r="C67" s="19" t="s">
        <v>2107</v>
      </c>
      <c r="D67" s="19" t="s">
        <v>2108</v>
      </c>
      <c r="E67" s="19" t="s">
        <v>2109</v>
      </c>
      <c r="F67" s="60" t="s">
        <v>2110</v>
      </c>
      <c r="G67" s="60" t="s">
        <v>2111</v>
      </c>
      <c r="H67" s="60" t="s">
        <v>2112</v>
      </c>
    </row>
    <row r="68" customFormat="false" ht="54" hidden="false" customHeight="true" outlineLevel="0" collapsed="false">
      <c r="A68" s="82"/>
      <c r="B68" s="77" t="s">
        <v>2113</v>
      </c>
      <c r="C68" s="81" t="s">
        <v>1870</v>
      </c>
      <c r="D68" s="19" t="s">
        <v>2114</v>
      </c>
      <c r="E68" s="19" t="s">
        <v>2115</v>
      </c>
      <c r="F68" s="60" t="s">
        <v>1967</v>
      </c>
      <c r="G68" s="60" t="s">
        <v>2116</v>
      </c>
      <c r="H68" s="60" t="s">
        <v>1855</v>
      </c>
    </row>
    <row r="69" customFormat="false" ht="54" hidden="false" customHeight="true" outlineLevel="0" collapsed="false">
      <c r="A69" s="82"/>
      <c r="B69" s="77" t="s">
        <v>2117</v>
      </c>
      <c r="C69" s="81" t="s">
        <v>1870</v>
      </c>
      <c r="D69" s="81" t="s">
        <v>1870</v>
      </c>
      <c r="E69" s="19" t="s">
        <v>93</v>
      </c>
      <c r="F69" s="60" t="s">
        <v>2118</v>
      </c>
      <c r="G69" s="60" t="s">
        <v>2119</v>
      </c>
      <c r="H69" s="60" t="s">
        <v>1855</v>
      </c>
    </row>
    <row r="70" customFormat="false" ht="54" hidden="false" customHeight="true" outlineLevel="0" collapsed="false">
      <c r="A70" s="82"/>
      <c r="B70" s="77" t="s">
        <v>2120</v>
      </c>
      <c r="C70" s="81" t="s">
        <v>1870</v>
      </c>
      <c r="D70" s="19" t="s">
        <v>2121</v>
      </c>
      <c r="E70" s="19" t="s">
        <v>2122</v>
      </c>
      <c r="F70" s="60" t="s">
        <v>1921</v>
      </c>
      <c r="G70" s="60" t="s">
        <v>1972</v>
      </c>
      <c r="H70" s="60" t="s">
        <v>1855</v>
      </c>
    </row>
    <row r="71" customFormat="false" ht="54" hidden="false" customHeight="true" outlineLevel="0" collapsed="false">
      <c r="A71" s="82"/>
      <c r="B71" s="77" t="s">
        <v>2123</v>
      </c>
      <c r="C71" s="81" t="s">
        <v>1870</v>
      </c>
      <c r="D71" s="26" t="s">
        <v>1925</v>
      </c>
      <c r="E71" s="19" t="s">
        <v>93</v>
      </c>
      <c r="F71" s="60" t="s">
        <v>1878</v>
      </c>
      <c r="G71" s="60" t="s">
        <v>2124</v>
      </c>
      <c r="H71" s="60" t="s">
        <v>1855</v>
      </c>
    </row>
    <row r="72" customFormat="false" ht="54" hidden="false" customHeight="true" outlineLevel="0" collapsed="false">
      <c r="A72" s="82"/>
      <c r="B72" s="77" t="s">
        <v>2125</v>
      </c>
      <c r="C72" s="26" t="s">
        <v>1925</v>
      </c>
      <c r="D72" s="26" t="s">
        <v>1925</v>
      </c>
      <c r="E72" s="26" t="s">
        <v>1925</v>
      </c>
      <c r="F72" s="60" t="s">
        <v>1931</v>
      </c>
      <c r="G72" s="60" t="s">
        <v>2126</v>
      </c>
      <c r="H72" s="60" t="s">
        <v>1855</v>
      </c>
    </row>
    <row r="73" customFormat="false" ht="54" hidden="false" customHeight="true" outlineLevel="0" collapsed="false">
      <c r="A73" s="82"/>
      <c r="B73" s="77" t="s">
        <v>2127</v>
      </c>
      <c r="C73" s="26" t="s">
        <v>1925</v>
      </c>
      <c r="D73" s="26" t="s">
        <v>1925</v>
      </c>
      <c r="E73" s="26" t="s">
        <v>1925</v>
      </c>
      <c r="F73" s="60" t="s">
        <v>2128</v>
      </c>
      <c r="G73" s="60" t="s">
        <v>2129</v>
      </c>
      <c r="H73" s="60" t="s">
        <v>1855</v>
      </c>
    </row>
    <row r="74" customFormat="false" ht="54" hidden="false" customHeight="true" outlineLevel="0" collapsed="false">
      <c r="A74" s="82"/>
      <c r="B74" s="77" t="s">
        <v>2130</v>
      </c>
      <c r="C74" s="81" t="s">
        <v>1870</v>
      </c>
      <c r="D74" s="81" t="s">
        <v>1870</v>
      </c>
      <c r="E74" s="19" t="s">
        <v>93</v>
      </c>
      <c r="F74" s="60" t="s">
        <v>1967</v>
      </c>
      <c r="G74" s="60" t="s">
        <v>2131</v>
      </c>
      <c r="H74" s="60" t="s">
        <v>2132</v>
      </c>
    </row>
    <row r="75" customFormat="false" ht="54" hidden="false" customHeight="true" outlineLevel="0" collapsed="false">
      <c r="A75" s="78" t="s">
        <v>2133</v>
      </c>
      <c r="B75" s="79" t="s">
        <v>2134</v>
      </c>
      <c r="C75" s="85" t="s">
        <v>2135</v>
      </c>
      <c r="D75" s="85" t="s">
        <v>2136</v>
      </c>
      <c r="E75" s="85" t="s">
        <v>2137</v>
      </c>
      <c r="F75" s="69" t="s">
        <v>1878</v>
      </c>
      <c r="G75" s="69" t="s">
        <v>2138</v>
      </c>
      <c r="H75" s="69" t="s">
        <v>2139</v>
      </c>
    </row>
    <row r="77" customFormat="false" ht="39.75" hidden="false" customHeight="true" outlineLevel="0" collapsed="false">
      <c r="A77" s="86" t="s">
        <v>2140</v>
      </c>
      <c r="B77" s="19" t="s">
        <v>2141</v>
      </c>
      <c r="C77" s="26" t="s">
        <v>2142</v>
      </c>
      <c r="D77" s="81" t="s">
        <v>2143</v>
      </c>
      <c r="F77" s="63" t="s">
        <v>2144</v>
      </c>
      <c r="G77" s="63"/>
      <c r="H77" s="63"/>
    </row>
  </sheetData>
  <autoFilter ref="A4:H75"/>
  <mergeCells count="12">
    <mergeCell ref="A2:H2"/>
    <mergeCell ref="A5:A14"/>
    <mergeCell ref="A15:A21"/>
    <mergeCell ref="A22:A29"/>
    <mergeCell ref="A30:A35"/>
    <mergeCell ref="A36:A38"/>
    <mergeCell ref="A39:A45"/>
    <mergeCell ref="A46:A52"/>
    <mergeCell ref="A53:A59"/>
    <mergeCell ref="A60:A65"/>
    <mergeCell ref="A66:A74"/>
    <mergeCell ref="F77:H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52"/>
    <col collapsed="false" customWidth="true" hidden="false" outlineLevel="0" max="5" min="4" style="0" width="34"/>
    <col collapsed="false" customWidth="true" hidden="false" outlineLevel="0" max="6" min="6" style="0" width="20"/>
    <col collapsed="false" customWidth="true" hidden="false" outlineLevel="0" max="7" min="7" style="0" width="40"/>
    <col collapsed="false" customWidth="true" hidden="false" outlineLevel="0" max="8" min="8" style="0" width="20"/>
  </cols>
  <sheetData>
    <row r="1" customFormat="false" ht="17.35" hidden="false" customHeight="false" outlineLevel="0" collapsed="false">
      <c r="A1" s="54" t="s">
        <v>2145</v>
      </c>
    </row>
    <row r="2" customFormat="false" ht="61.5" hidden="false" customHeight="true" outlineLevel="0" collapsed="false">
      <c r="A2" s="63" t="s">
        <v>2146</v>
      </c>
      <c r="B2" s="63"/>
      <c r="C2" s="63"/>
      <c r="D2" s="63"/>
      <c r="E2" s="63"/>
      <c r="F2" s="63"/>
      <c r="G2" s="63"/>
      <c r="H2" s="63"/>
    </row>
    <row r="4" customFormat="false" ht="15" hidden="false" customHeight="false" outlineLevel="0" collapsed="false">
      <c r="A4" s="7" t="s">
        <v>2147</v>
      </c>
    </row>
    <row r="5" customFormat="false" ht="15" hidden="false" customHeight="false" outlineLevel="0" collapsed="false">
      <c r="A5" s="3" t="s">
        <v>1619</v>
      </c>
      <c r="B5" s="3" t="s">
        <v>2148</v>
      </c>
      <c r="C5" s="3" t="s">
        <v>2149</v>
      </c>
      <c r="D5" s="3" t="s">
        <v>2150</v>
      </c>
    </row>
    <row r="6" customFormat="false" ht="75.75" hidden="false" customHeight="true" outlineLevel="0" collapsed="false">
      <c r="A6" s="87" t="s">
        <v>2151</v>
      </c>
      <c r="B6" s="5" t="s">
        <v>2152</v>
      </c>
      <c r="C6" s="5" t="s">
        <v>2153</v>
      </c>
      <c r="D6" s="5" t="s">
        <v>2154</v>
      </c>
    </row>
    <row r="7" customFormat="false" ht="75.75" hidden="false" customHeight="true" outlineLevel="0" collapsed="false">
      <c r="A7" s="87" t="s">
        <v>2155</v>
      </c>
      <c r="B7" s="5" t="s">
        <v>2156</v>
      </c>
      <c r="C7" s="5" t="s">
        <v>2157</v>
      </c>
      <c r="D7" s="5" t="s">
        <v>2158</v>
      </c>
    </row>
    <row r="8" customFormat="false" ht="75.75" hidden="false" customHeight="true" outlineLevel="0" collapsed="false">
      <c r="A8" s="87" t="s">
        <v>2159</v>
      </c>
      <c r="B8" s="5" t="s">
        <v>2160</v>
      </c>
      <c r="C8" s="5" t="s">
        <v>2161</v>
      </c>
      <c r="D8" s="5" t="s">
        <v>2162</v>
      </c>
    </row>
    <row r="9" customFormat="false" ht="75.75" hidden="false" customHeight="true" outlineLevel="0" collapsed="false">
      <c r="A9" s="87" t="s">
        <v>2163</v>
      </c>
      <c r="B9" s="5" t="s">
        <v>2164</v>
      </c>
      <c r="C9" s="5" t="s">
        <v>2165</v>
      </c>
      <c r="D9" s="5" t="s">
        <v>2166</v>
      </c>
    </row>
    <row r="10" customFormat="false" ht="75.75" hidden="false" customHeight="true" outlineLevel="0" collapsed="false">
      <c r="A10" s="87" t="s">
        <v>2167</v>
      </c>
      <c r="B10" s="5" t="s">
        <v>2168</v>
      </c>
      <c r="C10" s="5" t="s">
        <v>2169</v>
      </c>
      <c r="D10" s="5" t="s">
        <v>2170</v>
      </c>
    </row>
    <row r="11" customFormat="false" ht="43.5" hidden="false" customHeight="true" outlineLevel="0" collapsed="false">
      <c r="A11" s="88" t="s">
        <v>2171</v>
      </c>
      <c r="B11" s="88"/>
      <c r="C11" s="88"/>
      <c r="D11" s="88"/>
    </row>
    <row r="13" customFormat="false" ht="15" hidden="false" customHeight="false" outlineLevel="0" collapsed="false">
      <c r="A13" s="7" t="s">
        <v>2172</v>
      </c>
    </row>
    <row r="14" customFormat="false" ht="15" hidden="false" customHeight="false" outlineLevel="0" collapsed="false">
      <c r="A14" s="55" t="s">
        <v>2173</v>
      </c>
    </row>
    <row r="15" customFormat="false" ht="23.85" hidden="false" customHeight="false" outlineLevel="0" collapsed="false">
      <c r="A15" s="3" t="s">
        <v>2174</v>
      </c>
      <c r="B15" s="3" t="s">
        <v>2175</v>
      </c>
      <c r="C15" s="3" t="s">
        <v>2176</v>
      </c>
      <c r="D15" s="3" t="s">
        <v>2177</v>
      </c>
      <c r="E15" s="3" t="s">
        <v>2178</v>
      </c>
      <c r="F15" s="3" t="s">
        <v>2179</v>
      </c>
    </row>
    <row r="16" customFormat="false" ht="133.5" hidden="false" customHeight="true" outlineLevel="0" collapsed="false">
      <c r="A16" s="5" t="n">
        <v>1</v>
      </c>
      <c r="B16" s="87" t="s">
        <v>2180</v>
      </c>
      <c r="C16" s="5" t="s">
        <v>2181</v>
      </c>
      <c r="D16" s="5" t="s">
        <v>2182</v>
      </c>
      <c r="E16" s="5" t="s">
        <v>2183</v>
      </c>
      <c r="F16" s="5" t="s">
        <v>2184</v>
      </c>
    </row>
    <row r="17" customFormat="false" ht="133.5" hidden="false" customHeight="true" outlineLevel="0" collapsed="false">
      <c r="A17" s="5" t="n">
        <v>2</v>
      </c>
      <c r="B17" s="87" t="s">
        <v>2185</v>
      </c>
      <c r="C17" s="5" t="s">
        <v>2186</v>
      </c>
      <c r="D17" s="5" t="s">
        <v>2187</v>
      </c>
      <c r="E17" s="5" t="s">
        <v>2188</v>
      </c>
      <c r="F17" s="5" t="s">
        <v>2189</v>
      </c>
    </row>
    <row r="18" customFormat="false" ht="133.5" hidden="false" customHeight="true" outlineLevel="0" collapsed="false">
      <c r="A18" s="5" t="n">
        <v>3</v>
      </c>
      <c r="B18" s="87" t="s">
        <v>2190</v>
      </c>
      <c r="C18" s="5" t="s">
        <v>2191</v>
      </c>
      <c r="D18" s="5" t="s">
        <v>2192</v>
      </c>
      <c r="E18" s="5" t="s">
        <v>2193</v>
      </c>
      <c r="F18" s="5" t="s">
        <v>2194</v>
      </c>
    </row>
    <row r="19" customFormat="false" ht="133.5" hidden="false" customHeight="true" outlineLevel="0" collapsed="false">
      <c r="A19" s="5" t="n">
        <v>4</v>
      </c>
      <c r="B19" s="87" t="s">
        <v>2195</v>
      </c>
      <c r="C19" s="5" t="s">
        <v>2196</v>
      </c>
      <c r="D19" s="5" t="s">
        <v>2197</v>
      </c>
      <c r="E19" s="5" t="s">
        <v>2198</v>
      </c>
      <c r="F19" s="5" t="s">
        <v>2199</v>
      </c>
    </row>
    <row r="20" customFormat="false" ht="133.5" hidden="false" customHeight="true" outlineLevel="0" collapsed="false">
      <c r="A20" s="5" t="n">
        <v>5</v>
      </c>
      <c r="B20" s="87" t="s">
        <v>2200</v>
      </c>
      <c r="C20" s="5" t="s">
        <v>2201</v>
      </c>
      <c r="D20" s="5" t="s">
        <v>2202</v>
      </c>
      <c r="E20" s="5" t="s">
        <v>2203</v>
      </c>
      <c r="F20" s="5" t="s">
        <v>2204</v>
      </c>
    </row>
    <row r="22" customFormat="false" ht="15" hidden="false" customHeight="false" outlineLevel="0" collapsed="false">
      <c r="A22" s="7" t="s">
        <v>2205</v>
      </c>
    </row>
    <row r="23" customFormat="false" ht="15" hidden="false" customHeight="false" outlineLevel="0" collapsed="false">
      <c r="A23" s="3" t="s">
        <v>2174</v>
      </c>
      <c r="B23" s="3" t="s">
        <v>2206</v>
      </c>
      <c r="C23" s="3" t="s">
        <v>2207</v>
      </c>
      <c r="D23" s="3" t="s">
        <v>2208</v>
      </c>
      <c r="E23" s="74" t="s">
        <v>1847</v>
      </c>
      <c r="F23" s="75" t="s">
        <v>1848</v>
      </c>
      <c r="G23" s="76" t="s">
        <v>1849</v>
      </c>
    </row>
    <row r="24" customFormat="false" ht="126" hidden="false" customHeight="true" outlineLevel="0" collapsed="false">
      <c r="A24" s="5" t="n">
        <v>1</v>
      </c>
      <c r="B24" s="87" t="s">
        <v>2209</v>
      </c>
      <c r="C24" s="5" t="s">
        <v>2210</v>
      </c>
      <c r="D24" s="5" t="s">
        <v>2211</v>
      </c>
      <c r="E24" s="9" t="s">
        <v>2212</v>
      </c>
      <c r="F24" s="11" t="s">
        <v>2213</v>
      </c>
      <c r="G24" s="13" t="s">
        <v>2214</v>
      </c>
    </row>
    <row r="25" customFormat="false" ht="126" hidden="false" customHeight="true" outlineLevel="0" collapsed="false">
      <c r="A25" s="5" t="n">
        <v>2</v>
      </c>
      <c r="B25" s="87" t="s">
        <v>2215</v>
      </c>
      <c r="C25" s="5" t="s">
        <v>2216</v>
      </c>
      <c r="D25" s="5" t="s">
        <v>2217</v>
      </c>
      <c r="E25" s="9" t="s">
        <v>2218</v>
      </c>
      <c r="F25" s="11" t="s">
        <v>2219</v>
      </c>
      <c r="G25" s="13" t="s">
        <v>2220</v>
      </c>
    </row>
    <row r="26" customFormat="false" ht="126" hidden="false" customHeight="true" outlineLevel="0" collapsed="false">
      <c r="A26" s="5" t="n">
        <v>3</v>
      </c>
      <c r="B26" s="87" t="s">
        <v>2221</v>
      </c>
      <c r="C26" s="5" t="s">
        <v>2222</v>
      </c>
      <c r="D26" s="5" t="s">
        <v>2223</v>
      </c>
      <c r="E26" s="9" t="s">
        <v>2224</v>
      </c>
      <c r="F26" s="11" t="s">
        <v>2225</v>
      </c>
      <c r="G26" s="13" t="s">
        <v>2226</v>
      </c>
    </row>
    <row r="27" customFormat="false" ht="126" hidden="false" customHeight="true" outlineLevel="0" collapsed="false">
      <c r="A27" s="5" t="n">
        <v>4</v>
      </c>
      <c r="B27" s="87" t="s">
        <v>2227</v>
      </c>
      <c r="C27" s="5" t="s">
        <v>2228</v>
      </c>
      <c r="D27" s="5" t="s">
        <v>2229</v>
      </c>
      <c r="E27" s="9" t="s">
        <v>2230</v>
      </c>
      <c r="F27" s="11" t="s">
        <v>2231</v>
      </c>
      <c r="G27" s="13" t="s">
        <v>2232</v>
      </c>
    </row>
    <row r="28" customFormat="false" ht="126" hidden="false" customHeight="true" outlineLevel="0" collapsed="false">
      <c r="A28" s="5" t="n">
        <v>5</v>
      </c>
      <c r="B28" s="87" t="s">
        <v>2233</v>
      </c>
      <c r="C28" s="5" t="s">
        <v>2234</v>
      </c>
      <c r="D28" s="5" t="s">
        <v>2235</v>
      </c>
      <c r="E28" s="9" t="s">
        <v>2236</v>
      </c>
      <c r="F28" s="11" t="s">
        <v>2237</v>
      </c>
      <c r="G28" s="13" t="s">
        <v>2238</v>
      </c>
    </row>
    <row r="29" customFormat="false" ht="126" hidden="false" customHeight="true" outlineLevel="0" collapsed="false">
      <c r="A29" s="5" t="n">
        <v>6</v>
      </c>
      <c r="B29" s="87" t="s">
        <v>2239</v>
      </c>
      <c r="C29" s="5" t="s">
        <v>2240</v>
      </c>
      <c r="D29" s="5" t="s">
        <v>2241</v>
      </c>
      <c r="E29" s="9" t="s">
        <v>2242</v>
      </c>
      <c r="F29" s="11" t="s">
        <v>2243</v>
      </c>
      <c r="G29" s="13" t="s">
        <v>2244</v>
      </c>
    </row>
    <row r="30" customFormat="false" ht="126" hidden="false" customHeight="true" outlineLevel="0" collapsed="false">
      <c r="A30" s="5" t="n">
        <v>7</v>
      </c>
      <c r="B30" s="87" t="s">
        <v>2245</v>
      </c>
      <c r="C30" s="5" t="s">
        <v>2246</v>
      </c>
      <c r="D30" s="5" t="s">
        <v>2247</v>
      </c>
      <c r="E30" s="9" t="s">
        <v>2248</v>
      </c>
      <c r="F30" s="11" t="s">
        <v>2249</v>
      </c>
      <c r="G30" s="13" t="s">
        <v>2250</v>
      </c>
    </row>
    <row r="31" customFormat="false" ht="126" hidden="false" customHeight="true" outlineLevel="0" collapsed="false">
      <c r="A31" s="5" t="n">
        <v>8</v>
      </c>
      <c r="B31" s="87" t="s">
        <v>2251</v>
      </c>
      <c r="C31" s="5" t="s">
        <v>2252</v>
      </c>
      <c r="D31" s="5" t="s">
        <v>2253</v>
      </c>
      <c r="E31" s="9" t="s">
        <v>2254</v>
      </c>
      <c r="F31" s="11" t="s">
        <v>2255</v>
      </c>
      <c r="G31" s="13" t="s">
        <v>2256</v>
      </c>
    </row>
    <row r="32" customFormat="false" ht="126" hidden="false" customHeight="true" outlineLevel="0" collapsed="false">
      <c r="A32" s="5" t="n">
        <v>9</v>
      </c>
      <c r="B32" s="87" t="s">
        <v>1884</v>
      </c>
      <c r="C32" s="5" t="s">
        <v>2257</v>
      </c>
      <c r="D32" s="5" t="s">
        <v>2258</v>
      </c>
      <c r="E32" s="9" t="s">
        <v>1885</v>
      </c>
      <c r="F32" s="11" t="s">
        <v>2259</v>
      </c>
      <c r="G32" s="13" t="s">
        <v>1887</v>
      </c>
    </row>
    <row r="33" customFormat="false" ht="126" hidden="false" customHeight="true" outlineLevel="0" collapsed="false">
      <c r="A33" s="5" t="n">
        <v>10</v>
      </c>
      <c r="B33" s="87" t="s">
        <v>1895</v>
      </c>
      <c r="C33" s="5" t="s">
        <v>2260</v>
      </c>
      <c r="D33" s="5" t="s">
        <v>2261</v>
      </c>
      <c r="E33" s="9" t="s">
        <v>2262</v>
      </c>
      <c r="F33" s="11" t="s">
        <v>2263</v>
      </c>
      <c r="G33" s="13" t="s">
        <v>2264</v>
      </c>
    </row>
    <row r="35" customFormat="false" ht="15" hidden="false" customHeight="false" outlineLevel="0" collapsed="false">
      <c r="A35" s="7" t="s">
        <v>2265</v>
      </c>
    </row>
    <row r="36" customFormat="false" ht="31.5" hidden="false" customHeight="true" outlineLevel="0" collapsed="false">
      <c r="A36" s="63" t="s">
        <v>2266</v>
      </c>
      <c r="B36" s="63"/>
      <c r="C36" s="63"/>
      <c r="D36" s="63"/>
      <c r="E36" s="63"/>
      <c r="F36" s="63"/>
      <c r="G36" s="63"/>
    </row>
    <row r="37" customFormat="false" ht="15" hidden="false" customHeight="false" outlineLevel="0" collapsed="false">
      <c r="A37" s="3" t="s">
        <v>2267</v>
      </c>
      <c r="B37" s="3" t="s">
        <v>2268</v>
      </c>
      <c r="C37" s="3" t="s">
        <v>2269</v>
      </c>
      <c r="D37" s="3" t="s">
        <v>2177</v>
      </c>
      <c r="E37" s="3" t="s">
        <v>1895</v>
      </c>
      <c r="F37" s="3" t="s">
        <v>2270</v>
      </c>
      <c r="G37" s="3" t="s">
        <v>2271</v>
      </c>
    </row>
    <row r="38" customFormat="false" ht="123.75" hidden="false" customHeight="true" outlineLevel="0" collapsed="false">
      <c r="A38" s="16" t="s">
        <v>2272</v>
      </c>
      <c r="B38" s="15" t="s">
        <v>2273</v>
      </c>
      <c r="C38" s="56" t="s">
        <v>2274</v>
      </c>
      <c r="D38" s="56" t="s">
        <v>2275</v>
      </c>
      <c r="E38" s="56" t="s">
        <v>2276</v>
      </c>
      <c r="F38" s="89" t="s">
        <v>2277</v>
      </c>
      <c r="G38" s="56" t="s">
        <v>2278</v>
      </c>
    </row>
    <row r="39" customFormat="false" ht="123.75" hidden="false" customHeight="true" outlineLevel="0" collapsed="false">
      <c r="A39" s="59" t="s">
        <v>2279</v>
      </c>
      <c r="B39" s="6" t="s">
        <v>2280</v>
      </c>
      <c r="C39" s="60" t="s">
        <v>2281</v>
      </c>
      <c r="D39" s="60" t="s">
        <v>2282</v>
      </c>
      <c r="E39" s="60" t="s">
        <v>2283</v>
      </c>
      <c r="F39" s="89" t="s">
        <v>2284</v>
      </c>
      <c r="G39" s="60" t="s">
        <v>2285</v>
      </c>
    </row>
    <row r="40" customFormat="false" ht="123.75" hidden="false" customHeight="true" outlineLevel="0" collapsed="false">
      <c r="A40" s="16" t="s">
        <v>2286</v>
      </c>
      <c r="B40" s="15" t="s">
        <v>2287</v>
      </c>
      <c r="C40" s="56" t="s">
        <v>2288</v>
      </c>
      <c r="D40" s="56" t="s">
        <v>2289</v>
      </c>
      <c r="E40" s="56" t="s">
        <v>2290</v>
      </c>
      <c r="F40" s="89" t="s">
        <v>2291</v>
      </c>
      <c r="G40" s="56" t="s">
        <v>2292</v>
      </c>
    </row>
    <row r="41" customFormat="false" ht="123.75" hidden="false" customHeight="true" outlineLevel="0" collapsed="false">
      <c r="A41" s="59" t="s">
        <v>2293</v>
      </c>
      <c r="B41" s="6" t="s">
        <v>2294</v>
      </c>
      <c r="C41" s="60" t="s">
        <v>2295</v>
      </c>
      <c r="D41" s="60" t="s">
        <v>2296</v>
      </c>
      <c r="E41" s="60" t="s">
        <v>2297</v>
      </c>
      <c r="F41" s="89" t="s">
        <v>2298</v>
      </c>
      <c r="G41" s="60" t="s">
        <v>2299</v>
      </c>
    </row>
    <row r="42" customFormat="false" ht="123.75" hidden="false" customHeight="true" outlineLevel="0" collapsed="false">
      <c r="A42" s="16" t="s">
        <v>2300</v>
      </c>
      <c r="B42" s="15" t="s">
        <v>2301</v>
      </c>
      <c r="C42" s="56" t="s">
        <v>2302</v>
      </c>
      <c r="D42" s="56" t="s">
        <v>2303</v>
      </c>
      <c r="E42" s="56" t="s">
        <v>2304</v>
      </c>
      <c r="F42" s="89" t="s">
        <v>2305</v>
      </c>
      <c r="G42" s="56" t="s">
        <v>2306</v>
      </c>
    </row>
    <row r="43" customFormat="false" ht="123.75" hidden="false" customHeight="true" outlineLevel="0" collapsed="false">
      <c r="A43" s="59" t="s">
        <v>2307</v>
      </c>
      <c r="B43" s="6" t="s">
        <v>2308</v>
      </c>
      <c r="C43" s="60" t="s">
        <v>2309</v>
      </c>
      <c r="D43" s="60" t="s">
        <v>2310</v>
      </c>
      <c r="E43" s="60" t="s">
        <v>2311</v>
      </c>
      <c r="F43" s="89" t="s">
        <v>2312</v>
      </c>
      <c r="G43" s="60" t="s">
        <v>2313</v>
      </c>
    </row>
    <row r="44" customFormat="false" ht="123.75" hidden="false" customHeight="true" outlineLevel="0" collapsed="false">
      <c r="A44" s="16" t="s">
        <v>2314</v>
      </c>
      <c r="B44" s="15" t="s">
        <v>2315</v>
      </c>
      <c r="C44" s="56" t="s">
        <v>2316</v>
      </c>
      <c r="D44" s="56" t="s">
        <v>2317</v>
      </c>
      <c r="E44" s="56" t="s">
        <v>2318</v>
      </c>
      <c r="F44" s="89" t="s">
        <v>2319</v>
      </c>
      <c r="G44" s="56" t="s">
        <v>2320</v>
      </c>
    </row>
    <row r="45" customFormat="false" ht="123.75" hidden="false" customHeight="true" outlineLevel="0" collapsed="false">
      <c r="A45" s="59" t="s">
        <v>2321</v>
      </c>
      <c r="B45" s="6" t="s">
        <v>2322</v>
      </c>
      <c r="C45" s="60" t="s">
        <v>2323</v>
      </c>
      <c r="D45" s="60" t="s">
        <v>2324</v>
      </c>
      <c r="E45" s="60" t="s">
        <v>2325</v>
      </c>
      <c r="F45" s="89" t="s">
        <v>2326</v>
      </c>
      <c r="G45" s="60" t="s">
        <v>2327</v>
      </c>
    </row>
    <row r="46" customFormat="false" ht="123.75" hidden="false" customHeight="true" outlineLevel="0" collapsed="false">
      <c r="A46" s="16" t="s">
        <v>2328</v>
      </c>
      <c r="B46" s="15" t="s">
        <v>2329</v>
      </c>
      <c r="C46" s="56" t="s">
        <v>2330</v>
      </c>
      <c r="D46" s="56" t="s">
        <v>2331</v>
      </c>
      <c r="E46" s="56" t="s">
        <v>2332</v>
      </c>
      <c r="F46" s="89" t="s">
        <v>2333</v>
      </c>
      <c r="G46" s="56" t="s">
        <v>2334</v>
      </c>
    </row>
    <row r="47" customFormat="false" ht="123.75" hidden="false" customHeight="true" outlineLevel="0" collapsed="false">
      <c r="A47" s="59" t="s">
        <v>2335</v>
      </c>
      <c r="B47" s="6" t="s">
        <v>2336</v>
      </c>
      <c r="C47" s="60" t="s">
        <v>2337</v>
      </c>
      <c r="D47" s="60" t="s">
        <v>2338</v>
      </c>
      <c r="E47" s="60" t="s">
        <v>2339</v>
      </c>
      <c r="F47" s="90" t="s">
        <v>2340</v>
      </c>
      <c r="G47" s="60" t="s">
        <v>2341</v>
      </c>
    </row>
    <row r="48" customFormat="false" ht="123.75" hidden="false" customHeight="true" outlineLevel="0" collapsed="false">
      <c r="A48" s="16" t="s">
        <v>2342</v>
      </c>
      <c r="B48" s="15" t="s">
        <v>2343</v>
      </c>
      <c r="C48" s="56" t="s">
        <v>2344</v>
      </c>
      <c r="D48" s="56" t="s">
        <v>2345</v>
      </c>
      <c r="E48" s="56" t="s">
        <v>2346</v>
      </c>
      <c r="F48" s="91" t="s">
        <v>2347</v>
      </c>
      <c r="G48" s="56" t="s">
        <v>2348</v>
      </c>
    </row>
    <row r="49" customFormat="false" ht="123.75" hidden="false" customHeight="true" outlineLevel="0" collapsed="false">
      <c r="A49" s="59" t="s">
        <v>2349</v>
      </c>
      <c r="B49" s="6" t="s">
        <v>2350</v>
      </c>
      <c r="C49" s="60" t="s">
        <v>2351</v>
      </c>
      <c r="D49" s="60" t="s">
        <v>2352</v>
      </c>
      <c r="E49" s="60" t="s">
        <v>2353</v>
      </c>
      <c r="F49" s="90" t="s">
        <v>2354</v>
      </c>
      <c r="G49" s="60" t="s">
        <v>2355</v>
      </c>
    </row>
    <row r="50" customFormat="false" ht="123.75" hidden="false" customHeight="true" outlineLevel="0" collapsed="false">
      <c r="A50" s="16" t="s">
        <v>2356</v>
      </c>
      <c r="B50" s="15" t="s">
        <v>2357</v>
      </c>
      <c r="C50" s="56" t="s">
        <v>2358</v>
      </c>
      <c r="D50" s="56" t="s">
        <v>2359</v>
      </c>
      <c r="E50" s="56" t="s">
        <v>2360</v>
      </c>
      <c r="F50" s="90" t="s">
        <v>2361</v>
      </c>
      <c r="G50" s="56" t="s">
        <v>2362</v>
      </c>
    </row>
    <row r="51" customFormat="false" ht="123.75" hidden="false" customHeight="true" outlineLevel="0" collapsed="false">
      <c r="A51" s="59" t="s">
        <v>2363</v>
      </c>
      <c r="B51" s="6" t="s">
        <v>2364</v>
      </c>
      <c r="C51" s="60" t="s">
        <v>2365</v>
      </c>
      <c r="D51" s="60" t="s">
        <v>2366</v>
      </c>
      <c r="E51" s="60" t="s">
        <v>2367</v>
      </c>
      <c r="F51" s="89" t="s">
        <v>2368</v>
      </c>
      <c r="G51" s="60" t="s">
        <v>2369</v>
      </c>
    </row>
    <row r="52" customFormat="false" ht="123.75" hidden="false" customHeight="true" outlineLevel="0" collapsed="false">
      <c r="A52" s="16" t="s">
        <v>2370</v>
      </c>
      <c r="B52" s="15" t="s">
        <v>2371</v>
      </c>
      <c r="C52" s="56" t="s">
        <v>2372</v>
      </c>
      <c r="D52" s="56" t="s">
        <v>2373</v>
      </c>
      <c r="E52" s="56" t="s">
        <v>2374</v>
      </c>
      <c r="F52" s="91" t="s">
        <v>2375</v>
      </c>
      <c r="G52" s="56" t="s">
        <v>2376</v>
      </c>
    </row>
    <row r="53" customFormat="false" ht="123.75" hidden="false" customHeight="true" outlineLevel="0" collapsed="false">
      <c r="A53" s="59" t="s">
        <v>2377</v>
      </c>
      <c r="B53" s="6" t="s">
        <v>2378</v>
      </c>
      <c r="C53" s="60" t="s">
        <v>2379</v>
      </c>
      <c r="D53" s="60" t="s">
        <v>2380</v>
      </c>
      <c r="E53" s="60" t="s">
        <v>2381</v>
      </c>
      <c r="F53" s="91" t="s">
        <v>2382</v>
      </c>
      <c r="G53" s="60" t="s">
        <v>2383</v>
      </c>
    </row>
    <row r="54" customFormat="false" ht="123.75" hidden="false" customHeight="true" outlineLevel="0" collapsed="false">
      <c r="A54" s="16" t="s">
        <v>2384</v>
      </c>
      <c r="B54" s="15" t="s">
        <v>2385</v>
      </c>
      <c r="C54" s="56" t="s">
        <v>2386</v>
      </c>
      <c r="D54" s="56" t="s">
        <v>2387</v>
      </c>
      <c r="E54" s="56" t="s">
        <v>2388</v>
      </c>
      <c r="F54" s="91" t="s">
        <v>2389</v>
      </c>
      <c r="G54" s="56" t="s">
        <v>2390</v>
      </c>
    </row>
    <row r="55" customFormat="false" ht="123.75" hidden="false" customHeight="true" outlineLevel="0" collapsed="false">
      <c r="A55" s="59" t="s">
        <v>2391</v>
      </c>
      <c r="B55" s="6" t="s">
        <v>2392</v>
      </c>
      <c r="C55" s="60" t="s">
        <v>2393</v>
      </c>
      <c r="D55" s="60" t="s">
        <v>2394</v>
      </c>
      <c r="E55" s="60" t="s">
        <v>2388</v>
      </c>
      <c r="F55" s="90" t="s">
        <v>2395</v>
      </c>
      <c r="G55" s="60" t="s">
        <v>2396</v>
      </c>
    </row>
    <row r="56" customFormat="false" ht="123.75" hidden="false" customHeight="true" outlineLevel="0" collapsed="false">
      <c r="A56" s="16" t="s">
        <v>2397</v>
      </c>
      <c r="B56" s="15" t="s">
        <v>2398</v>
      </c>
      <c r="C56" s="56" t="s">
        <v>2399</v>
      </c>
      <c r="D56" s="56" t="s">
        <v>2400</v>
      </c>
      <c r="E56" s="56" t="s">
        <v>2360</v>
      </c>
      <c r="F56" s="91" t="s">
        <v>2389</v>
      </c>
      <c r="G56" s="56" t="s">
        <v>2401</v>
      </c>
    </row>
    <row r="57" customFormat="false" ht="57.75" hidden="false" customHeight="true" outlineLevel="0" collapsed="false">
      <c r="A57" s="63" t="s">
        <v>2402</v>
      </c>
      <c r="B57" s="63"/>
      <c r="C57" s="63"/>
      <c r="D57" s="63"/>
      <c r="E57" s="63"/>
      <c r="F57" s="63"/>
      <c r="G57" s="63"/>
    </row>
    <row r="59" customFormat="false" ht="15" hidden="false" customHeight="false" outlineLevel="0" collapsed="false">
      <c r="A59" s="7" t="s">
        <v>2403</v>
      </c>
    </row>
    <row r="60" customFormat="false" ht="61.5" hidden="false" customHeight="true" outlineLevel="0" collapsed="false">
      <c r="A60" s="92" t="s">
        <v>2404</v>
      </c>
      <c r="B60" s="92"/>
      <c r="C60" s="92"/>
      <c r="D60" s="92"/>
      <c r="E60" s="92"/>
      <c r="F60" s="92"/>
    </row>
    <row r="61" customFormat="false" ht="15" hidden="false" customHeight="false" outlineLevel="0" collapsed="false">
      <c r="A61" s="3" t="s">
        <v>2267</v>
      </c>
      <c r="B61" s="3" t="s">
        <v>2405</v>
      </c>
      <c r="C61" s="3" t="s">
        <v>2406</v>
      </c>
      <c r="D61" s="3" t="s">
        <v>2270</v>
      </c>
    </row>
    <row r="62" customFormat="false" ht="61.5" hidden="false" customHeight="true" outlineLevel="0" collapsed="false">
      <c r="A62" s="87" t="s">
        <v>2407</v>
      </c>
      <c r="B62" s="5" t="s">
        <v>2408</v>
      </c>
      <c r="C62" s="5" t="s">
        <v>2409</v>
      </c>
      <c r="D62" s="19" t="s">
        <v>2410</v>
      </c>
    </row>
    <row r="63" customFormat="false" ht="61.5" hidden="false" customHeight="true" outlineLevel="0" collapsed="false">
      <c r="A63" s="87" t="s">
        <v>2411</v>
      </c>
      <c r="B63" s="5" t="s">
        <v>2412</v>
      </c>
      <c r="C63" s="5" t="s">
        <v>2413</v>
      </c>
      <c r="D63" s="19" t="s">
        <v>2410</v>
      </c>
    </row>
    <row r="64" customFormat="false" ht="61.5" hidden="false" customHeight="true" outlineLevel="0" collapsed="false">
      <c r="A64" s="87" t="s">
        <v>605</v>
      </c>
      <c r="B64" s="5" t="s">
        <v>2414</v>
      </c>
      <c r="C64" s="5" t="s">
        <v>2415</v>
      </c>
      <c r="D64" s="19" t="s">
        <v>2416</v>
      </c>
    </row>
    <row r="65" customFormat="false" ht="61.5" hidden="false" customHeight="true" outlineLevel="0" collapsed="false">
      <c r="A65" s="87" t="s">
        <v>2417</v>
      </c>
      <c r="B65" s="5" t="s">
        <v>2418</v>
      </c>
      <c r="C65" s="5" t="s">
        <v>2419</v>
      </c>
      <c r="D65" s="19" t="s">
        <v>2420</v>
      </c>
    </row>
    <row r="66" customFormat="false" ht="61.5" hidden="false" customHeight="true" outlineLevel="0" collapsed="false">
      <c r="A66" s="87" t="s">
        <v>2421</v>
      </c>
      <c r="B66" s="5" t="s">
        <v>2414</v>
      </c>
      <c r="C66" s="5" t="s">
        <v>2422</v>
      </c>
      <c r="D66" s="26" t="s">
        <v>2389</v>
      </c>
    </row>
    <row r="67" customFormat="false" ht="61.5" hidden="false" customHeight="true" outlineLevel="0" collapsed="false">
      <c r="A67" s="87" t="s">
        <v>2423</v>
      </c>
      <c r="B67" s="5" t="s">
        <v>2414</v>
      </c>
      <c r="C67" s="5" t="s">
        <v>2424</v>
      </c>
      <c r="D67" s="26" t="s">
        <v>2389</v>
      </c>
    </row>
    <row r="68" customFormat="false" ht="61.5" hidden="false" customHeight="true" outlineLevel="0" collapsed="false">
      <c r="A68" s="87" t="s">
        <v>2425</v>
      </c>
      <c r="B68" s="5" t="s">
        <v>2426</v>
      </c>
      <c r="C68" s="5" t="s">
        <v>2427</v>
      </c>
      <c r="D68" s="19" t="s">
        <v>2428</v>
      </c>
    </row>
    <row r="69" customFormat="false" ht="61.5" hidden="false" customHeight="true" outlineLevel="0" collapsed="false">
      <c r="A69" s="87" t="s">
        <v>2429</v>
      </c>
      <c r="B69" s="5" t="s">
        <v>2430</v>
      </c>
      <c r="C69" s="5" t="s">
        <v>2431</v>
      </c>
      <c r="D69" s="19" t="s">
        <v>2432</v>
      </c>
    </row>
    <row r="70" customFormat="false" ht="61.5" hidden="false" customHeight="true" outlineLevel="0" collapsed="false">
      <c r="A70" s="87" t="s">
        <v>2433</v>
      </c>
      <c r="B70" s="5" t="s">
        <v>2434</v>
      </c>
      <c r="C70" s="5" t="s">
        <v>2435</v>
      </c>
      <c r="D70" s="93" t="s">
        <v>2436</v>
      </c>
    </row>
    <row r="72" customFormat="false" ht="33.75" hidden="false" customHeight="true" outlineLevel="0" collapsed="false">
      <c r="A72" s="14" t="s">
        <v>2437</v>
      </c>
      <c r="B72" s="14"/>
      <c r="C72" s="14"/>
      <c r="D72" s="14"/>
      <c r="E72" s="14"/>
      <c r="F72" s="14"/>
    </row>
    <row r="73" customFormat="false" ht="33.75" hidden="false" customHeight="true" outlineLevel="0" collapsed="false">
      <c r="A73" s="14" t="s">
        <v>2438</v>
      </c>
      <c r="B73" s="14"/>
      <c r="C73" s="14"/>
      <c r="D73" s="14"/>
      <c r="E73" s="14"/>
      <c r="F73" s="14"/>
    </row>
    <row r="74" customFormat="false" ht="33.75" hidden="false" customHeight="true" outlineLevel="0" collapsed="false">
      <c r="A74" s="14" t="s">
        <v>2439</v>
      </c>
      <c r="B74" s="14"/>
      <c r="C74" s="14"/>
      <c r="D74" s="14"/>
      <c r="E74" s="14"/>
      <c r="F74" s="14"/>
    </row>
    <row r="75" customFormat="false" ht="33.75" hidden="false" customHeight="true" outlineLevel="0" collapsed="false">
      <c r="A75" s="14" t="s">
        <v>2440</v>
      </c>
      <c r="B75" s="14"/>
      <c r="C75" s="14"/>
      <c r="D75" s="14"/>
      <c r="E75" s="14"/>
      <c r="F75" s="14"/>
    </row>
    <row r="76" customFormat="false" ht="33.75" hidden="false" customHeight="true" outlineLevel="0" collapsed="false">
      <c r="A76" s="14" t="s">
        <v>2441</v>
      </c>
      <c r="B76" s="14"/>
      <c r="C76" s="14"/>
      <c r="D76" s="14"/>
      <c r="E76" s="14"/>
      <c r="F76" s="14"/>
    </row>
    <row r="77" customFormat="false" ht="33.75" hidden="false" customHeight="true" outlineLevel="0" collapsed="false">
      <c r="A77" s="14" t="s">
        <v>2442</v>
      </c>
      <c r="B77" s="14"/>
      <c r="C77" s="14"/>
      <c r="D77" s="14"/>
      <c r="E77" s="14"/>
      <c r="F77" s="14"/>
    </row>
    <row r="79" customFormat="false" ht="15" hidden="false" customHeight="false" outlineLevel="0" collapsed="false">
      <c r="A79" s="7" t="s">
        <v>2443</v>
      </c>
    </row>
    <row r="80" customFormat="false" ht="15" hidden="false" customHeight="false" outlineLevel="0" collapsed="false">
      <c r="A80" s="3" t="s">
        <v>2444</v>
      </c>
      <c r="B80" s="3" t="s">
        <v>2445</v>
      </c>
      <c r="C80" s="3" t="s">
        <v>2446</v>
      </c>
    </row>
    <row r="81" customFormat="false" ht="91.5" hidden="false" customHeight="true" outlineLevel="0" collapsed="false">
      <c r="A81" s="87" t="s">
        <v>2447</v>
      </c>
      <c r="B81" s="5" t="s">
        <v>2448</v>
      </c>
      <c r="C81" s="5" t="s">
        <v>2449</v>
      </c>
    </row>
    <row r="82" customFormat="false" ht="91.5" hidden="false" customHeight="true" outlineLevel="0" collapsed="false">
      <c r="A82" s="87" t="s">
        <v>2450</v>
      </c>
      <c r="B82" s="5" t="s">
        <v>2451</v>
      </c>
      <c r="C82" s="5" t="s">
        <v>2452</v>
      </c>
    </row>
    <row r="83" customFormat="false" ht="91.5" hidden="false" customHeight="true" outlineLevel="0" collapsed="false">
      <c r="A83" s="87" t="s">
        <v>2453</v>
      </c>
      <c r="B83" s="5" t="s">
        <v>2454</v>
      </c>
      <c r="C83" s="5" t="s">
        <v>2455</v>
      </c>
    </row>
    <row r="84" customFormat="false" ht="91.5" hidden="false" customHeight="true" outlineLevel="0" collapsed="false">
      <c r="A84" s="87" t="s">
        <v>2456</v>
      </c>
      <c r="B84" s="5" t="s">
        <v>2457</v>
      </c>
      <c r="C84" s="5" t="s">
        <v>2458</v>
      </c>
    </row>
    <row r="85" customFormat="false" ht="91.5" hidden="false" customHeight="true" outlineLevel="0" collapsed="false">
      <c r="A85" s="87" t="s">
        <v>2459</v>
      </c>
      <c r="B85" s="5" t="s">
        <v>2460</v>
      </c>
      <c r="C85" s="5" t="s">
        <v>2461</v>
      </c>
    </row>
    <row r="86" customFormat="false" ht="91.5" hidden="false" customHeight="true" outlineLevel="0" collapsed="false">
      <c r="A86" s="87" t="s">
        <v>2462</v>
      </c>
      <c r="B86" s="5" t="s">
        <v>2463</v>
      </c>
      <c r="C86" s="5" t="s">
        <v>2464</v>
      </c>
    </row>
    <row r="87" customFormat="false" ht="91.5" hidden="false" customHeight="true" outlineLevel="0" collapsed="false">
      <c r="A87" s="87" t="s">
        <v>2465</v>
      </c>
      <c r="B87" s="5" t="s">
        <v>2466</v>
      </c>
      <c r="C87" s="5" t="s">
        <v>2467</v>
      </c>
    </row>
    <row r="89" customFormat="false" ht="15" hidden="false" customHeight="false" outlineLevel="0" collapsed="false">
      <c r="A89" s="7" t="s">
        <v>2468</v>
      </c>
    </row>
    <row r="90" customFormat="false" ht="42" hidden="false" customHeight="true" outlineLevel="0" collapsed="false">
      <c r="A90" s="14" t="s">
        <v>2469</v>
      </c>
      <c r="B90" s="14"/>
      <c r="C90" s="14"/>
      <c r="D90" s="14"/>
      <c r="E90" s="14"/>
      <c r="F90" s="14"/>
    </row>
    <row r="91" customFormat="false" ht="42" hidden="false" customHeight="true" outlineLevel="0" collapsed="false">
      <c r="A91" s="14" t="s">
        <v>2470</v>
      </c>
      <c r="B91" s="14"/>
      <c r="C91" s="14"/>
      <c r="D91" s="14"/>
      <c r="E91" s="14"/>
      <c r="F91" s="14"/>
    </row>
    <row r="92" customFormat="false" ht="42" hidden="false" customHeight="true" outlineLevel="0" collapsed="false">
      <c r="A92" s="14" t="s">
        <v>2471</v>
      </c>
      <c r="B92" s="14"/>
      <c r="C92" s="14"/>
      <c r="D92" s="14"/>
      <c r="E92" s="14"/>
      <c r="F92" s="14"/>
    </row>
    <row r="93" customFormat="false" ht="42" hidden="false" customHeight="true" outlineLevel="0" collapsed="false">
      <c r="A93" s="14" t="s">
        <v>2472</v>
      </c>
      <c r="B93" s="14"/>
      <c r="C93" s="14"/>
      <c r="D93" s="14"/>
      <c r="E93" s="14"/>
      <c r="F93" s="14"/>
    </row>
    <row r="94" customFormat="false" ht="42" hidden="false" customHeight="true" outlineLevel="0" collapsed="false">
      <c r="A94" s="14" t="s">
        <v>2473</v>
      </c>
      <c r="B94" s="14"/>
      <c r="C94" s="14"/>
      <c r="D94" s="14"/>
      <c r="E94" s="14"/>
      <c r="F94" s="14"/>
    </row>
    <row r="95" customFormat="false" ht="42" hidden="false" customHeight="true" outlineLevel="0" collapsed="false">
      <c r="A95" s="14" t="s">
        <v>2474</v>
      </c>
      <c r="B95" s="14"/>
      <c r="C95" s="14"/>
      <c r="D95" s="14"/>
      <c r="E95" s="14"/>
      <c r="F95" s="14"/>
    </row>
  </sheetData>
  <mergeCells count="17">
    <mergeCell ref="A2:H2"/>
    <mergeCell ref="A11:D11"/>
    <mergeCell ref="A36:G36"/>
    <mergeCell ref="A57:G57"/>
    <mergeCell ref="A60:F60"/>
    <mergeCell ref="A72:F72"/>
    <mergeCell ref="A73:F73"/>
    <mergeCell ref="A74:F74"/>
    <mergeCell ref="A75:F75"/>
    <mergeCell ref="A76:F76"/>
    <mergeCell ref="A77:F77"/>
    <mergeCell ref="A90:F90"/>
    <mergeCell ref="A91:F91"/>
    <mergeCell ref="A92:F92"/>
    <mergeCell ref="A93:F93"/>
    <mergeCell ref="A94:F94"/>
    <mergeCell ref="A95:F9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22"/>
    <col collapsed="false" customWidth="true" hidden="false" outlineLevel="0" max="4" min="4" style="0" width="50"/>
    <col collapsed="false" customWidth="true" hidden="false" outlineLevel="0" max="5" min="5" style="0" width="14"/>
    <col collapsed="false" customWidth="true" hidden="false" outlineLevel="0" max="6" min="6" style="0" width="50"/>
  </cols>
  <sheetData>
    <row r="1" customFormat="false" ht="17.35" hidden="false" customHeight="false" outlineLevel="0" collapsed="false">
      <c r="A1" s="54" t="s">
        <v>2475</v>
      </c>
    </row>
    <row r="3" customFormat="false" ht="23.85" hidden="false" customHeight="false" outlineLevel="0" collapsed="false">
      <c r="A3" s="3" t="s">
        <v>42</v>
      </c>
      <c r="B3" s="3" t="s">
        <v>2476</v>
      </c>
      <c r="C3" s="3" t="s">
        <v>2477</v>
      </c>
      <c r="D3" s="3" t="s">
        <v>2478</v>
      </c>
      <c r="E3" s="3" t="s">
        <v>2479</v>
      </c>
      <c r="F3" s="3" t="s">
        <v>2480</v>
      </c>
    </row>
    <row r="4" customFormat="false" ht="69.75" hidden="false" customHeight="true" outlineLevel="0" collapsed="false">
      <c r="A4" s="5" t="s">
        <v>76</v>
      </c>
      <c r="B4" s="5" t="s">
        <v>77</v>
      </c>
      <c r="C4" s="5" t="s">
        <v>78</v>
      </c>
      <c r="D4" s="5" t="s">
        <v>2481</v>
      </c>
      <c r="E4" s="5" t="n">
        <f aca="false">COUNTIF('Consolidated Data'!$B$2:$B$231,"Laura Lopez")</f>
        <v>215</v>
      </c>
      <c r="F4" s="5" t="s">
        <v>2482</v>
      </c>
    </row>
    <row r="5" customFormat="false" ht="69.75" hidden="false" customHeight="true" outlineLevel="0" collapsed="false">
      <c r="A5" s="5" t="s">
        <v>1462</v>
      </c>
      <c r="B5" s="5" t="s">
        <v>1463</v>
      </c>
      <c r="C5" s="5" t="s">
        <v>1464</v>
      </c>
      <c r="D5" s="5" t="s">
        <v>2483</v>
      </c>
      <c r="E5" s="5" t="n">
        <f aca="false">COUNTIF('Consolidated Data'!$B$2:$B$231,"Ken Witzgall")</f>
        <v>2</v>
      </c>
      <c r="F5" s="5" t="s">
        <v>2484</v>
      </c>
    </row>
    <row r="6" customFormat="false" ht="69.75" hidden="false" customHeight="true" outlineLevel="0" collapsed="false">
      <c r="A6" s="5" t="s">
        <v>1496</v>
      </c>
      <c r="B6" s="5" t="s">
        <v>1497</v>
      </c>
      <c r="C6" s="5" t="s">
        <v>1498</v>
      </c>
      <c r="D6" s="5" t="s">
        <v>2485</v>
      </c>
      <c r="E6" s="5" t="n">
        <f aca="false">COUNTIF('Consolidated Data'!$B$2:$B$231,"Scott Wood")</f>
        <v>2</v>
      </c>
      <c r="F6" s="5" t="s">
        <v>2486</v>
      </c>
    </row>
    <row r="7" customFormat="false" ht="69.75" hidden="false" customHeight="true" outlineLevel="0" collapsed="false">
      <c r="A7" s="5" t="s">
        <v>1512</v>
      </c>
      <c r="B7" s="5" t="s">
        <v>1513</v>
      </c>
      <c r="C7" s="5" t="s">
        <v>1498</v>
      </c>
      <c r="D7" s="5" t="s">
        <v>2487</v>
      </c>
      <c r="E7" s="5" t="n">
        <f aca="false">COUNTIF('Consolidated Data'!$B$2:$B$231,"Jennifer Saxman")</f>
        <v>11</v>
      </c>
      <c r="F7" s="5" t="s">
        <v>2488</v>
      </c>
    </row>
    <row r="9" customFormat="false" ht="15" hidden="false" customHeight="false" outlineLevel="0" collapsed="false">
      <c r="A9" s="7" t="s">
        <v>2489</v>
      </c>
    </row>
    <row r="10" customFormat="false" ht="43.5" hidden="false" customHeight="true" outlineLevel="0" collapsed="false">
      <c r="A10" s="14" t="s">
        <v>2490</v>
      </c>
      <c r="B10" s="14"/>
      <c r="C10" s="14"/>
      <c r="D10" s="14"/>
      <c r="E10" s="14"/>
      <c r="F10" s="14"/>
    </row>
    <row r="11" customFormat="false" ht="43.5" hidden="false" customHeight="true" outlineLevel="0" collapsed="false">
      <c r="A11" s="14" t="s">
        <v>2491</v>
      </c>
      <c r="B11" s="14"/>
      <c r="C11" s="14"/>
      <c r="D11" s="14"/>
      <c r="E11" s="14"/>
      <c r="F11" s="14"/>
    </row>
    <row r="12" customFormat="false" ht="43.5" hidden="false" customHeight="true" outlineLevel="0" collapsed="false">
      <c r="A12" s="14" t="s">
        <v>2492</v>
      </c>
      <c r="B12" s="14"/>
      <c r="C12" s="14"/>
      <c r="D12" s="14"/>
      <c r="E12" s="14"/>
      <c r="F12" s="14"/>
    </row>
    <row r="13" customFormat="false" ht="43.5" hidden="false" customHeight="true" outlineLevel="0" collapsed="false">
      <c r="A13" s="14" t="s">
        <v>2493</v>
      </c>
      <c r="B13" s="14"/>
      <c r="C13" s="14"/>
      <c r="D13" s="14"/>
      <c r="E13" s="14"/>
      <c r="F13" s="14"/>
    </row>
    <row r="14" customFormat="false" ht="43.5" hidden="false" customHeight="true" outlineLevel="0" collapsed="false">
      <c r="A14" s="14" t="s">
        <v>2494</v>
      </c>
      <c r="B14" s="14"/>
      <c r="C14" s="14"/>
      <c r="D14" s="14"/>
      <c r="E14" s="14"/>
      <c r="F14" s="14"/>
    </row>
    <row r="15" customFormat="false" ht="43.5" hidden="false" customHeight="true" outlineLevel="0" collapsed="false">
      <c r="A15" s="14" t="s">
        <v>2495</v>
      </c>
      <c r="B15" s="14"/>
      <c r="C15" s="14"/>
      <c r="D15" s="14"/>
      <c r="E15" s="14"/>
      <c r="F15" s="14"/>
    </row>
    <row r="16" customFormat="false" ht="43.5" hidden="false" customHeight="true" outlineLevel="0" collapsed="false">
      <c r="A16" s="14" t="s">
        <v>2496</v>
      </c>
      <c r="B16" s="14"/>
      <c r="C16" s="14"/>
      <c r="D16" s="14"/>
      <c r="E16" s="14"/>
      <c r="F16" s="14"/>
    </row>
    <row r="17" customFormat="false" ht="43.5" hidden="false" customHeight="true" outlineLevel="0" collapsed="false">
      <c r="A17" s="14" t="s">
        <v>2497</v>
      </c>
      <c r="B17" s="14"/>
      <c r="C17" s="14"/>
      <c r="D17" s="14"/>
      <c r="E17" s="14"/>
      <c r="F17" s="14"/>
    </row>
    <row r="18" customFormat="false" ht="43.5" hidden="false" customHeight="true" outlineLevel="0" collapsed="false">
      <c r="A18" s="14" t="s">
        <v>2498</v>
      </c>
      <c r="B18" s="14"/>
      <c r="C18" s="14"/>
      <c r="D18" s="14"/>
      <c r="E18" s="14"/>
      <c r="F18" s="14"/>
    </row>
  </sheetData>
  <mergeCells count="9">
    <mergeCell ref="A10:F10"/>
    <mergeCell ref="A11:F11"/>
    <mergeCell ref="A12:F12"/>
    <mergeCell ref="A13:F13"/>
    <mergeCell ref="A14:F14"/>
    <mergeCell ref="A15:F15"/>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2026-09-17T16:48:56Z</dcterms:created>
  <dc:creator>openpyxl</dc:creator>
  <dc:description/>
  <dc:language>en-US</dc:language>
  <cp:lastModifiedBy/>
  <dcterms:modified xsi:type="dcterms:W3CDTF">2026-09-17T16:48:57Z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